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成绩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J1" authorId="0">
      <text>
        <r>
          <rPr>
            <sz val="12"/>
            <color indexed="10"/>
            <rFont val="Arial"/>
            <charset val="1"/>
          </rPr>
          <t>该分项或者阶段成绩录入级制为【百分制】,请输入 0 至 100 之间的数值!</t>
        </r>
      </text>
    </comment>
    <comment ref="K1" authorId="0">
      <text>
        <r>
          <rPr>
            <sz val="12"/>
            <color indexed="10"/>
            <rFont val="Arial"/>
            <charset val="1"/>
          </rPr>
          <t>该分项或者阶段成绩录入级制为【百分制】,请输入 0 至 100 之间的数值!</t>
        </r>
      </text>
    </comment>
  </commentList>
</comments>
</file>

<file path=xl/sharedStrings.xml><?xml version="1.0" encoding="utf-8"?>
<sst xmlns="http://schemas.openxmlformats.org/spreadsheetml/2006/main" count="394" uniqueCount="270">
  <si>
    <t>学号</t>
  </si>
  <si>
    <t>姓名</t>
  </si>
  <si>
    <t>班级</t>
  </si>
  <si>
    <t>1.项目立项与启动分数</t>
  </si>
  <si>
    <t>2.项目规划分数</t>
  </si>
  <si>
    <t>3.项目执行与资源管理分数</t>
  </si>
  <si>
    <t>4.项目监控与控制分数</t>
  </si>
  <si>
    <t>5.项目收尾分数</t>
  </si>
  <si>
    <t>6.汇报分数</t>
  </si>
  <si>
    <t>平时(必填)</t>
  </si>
  <si>
    <t>期末(必填)</t>
  </si>
  <si>
    <t>19408010415</t>
  </si>
  <si>
    <t>张鹏</t>
  </si>
  <si>
    <t>软件工程2201</t>
  </si>
  <si>
    <t>20411070207</t>
  </si>
  <si>
    <t>张世泽</t>
  </si>
  <si>
    <t>22401010102</t>
  </si>
  <si>
    <t>周子豪</t>
  </si>
  <si>
    <t>22408010102</t>
  </si>
  <si>
    <t>陈振宇</t>
  </si>
  <si>
    <t>22408010103</t>
  </si>
  <si>
    <t>孔建明</t>
  </si>
  <si>
    <t>22408010104</t>
  </si>
  <si>
    <t>吴金权</t>
  </si>
  <si>
    <t>22408010105</t>
  </si>
  <si>
    <t>谢江峰</t>
  </si>
  <si>
    <t>22408010106</t>
  </si>
  <si>
    <t>晁瑞龙</t>
  </si>
  <si>
    <t>22408010107</t>
  </si>
  <si>
    <t>邹长红</t>
  </si>
  <si>
    <t>22408010108</t>
  </si>
  <si>
    <t>田佳乐</t>
  </si>
  <si>
    <t>22408010109</t>
  </si>
  <si>
    <t>常欣阳</t>
  </si>
  <si>
    <t>22408010110</t>
  </si>
  <si>
    <t>龙一哲</t>
  </si>
  <si>
    <t>22408010111</t>
  </si>
  <si>
    <t>杨世雄</t>
  </si>
  <si>
    <t>22408010112</t>
  </si>
  <si>
    <t>关嘉瑞</t>
  </si>
  <si>
    <t>22408010113</t>
  </si>
  <si>
    <t>杨睿坤</t>
  </si>
  <si>
    <t>22408010114</t>
  </si>
  <si>
    <t>华智佳</t>
  </si>
  <si>
    <t>22408010115</t>
  </si>
  <si>
    <t>张文博</t>
  </si>
  <si>
    <t>22408010116</t>
  </si>
  <si>
    <t>徐晨</t>
  </si>
  <si>
    <t>22408010117</t>
  </si>
  <si>
    <t>左仲州</t>
  </si>
  <si>
    <t>22408010118</t>
  </si>
  <si>
    <t>阿卜杜热依木·阿布都热合曼</t>
  </si>
  <si>
    <t>22408010119</t>
  </si>
  <si>
    <t>黄真</t>
  </si>
  <si>
    <t>22408010120</t>
  </si>
  <si>
    <t>王蕊</t>
  </si>
  <si>
    <t>22408010121</t>
  </si>
  <si>
    <t>周静</t>
  </si>
  <si>
    <t>22408010122</t>
  </si>
  <si>
    <t>康佳雯</t>
  </si>
  <si>
    <t>22408010123</t>
  </si>
  <si>
    <t>赵文静</t>
  </si>
  <si>
    <t>22408010124</t>
  </si>
  <si>
    <t>田奕晨</t>
  </si>
  <si>
    <t>22408010125</t>
  </si>
  <si>
    <t>李扬帆</t>
  </si>
  <si>
    <t>22408010126</t>
  </si>
  <si>
    <t>李佳音</t>
  </si>
  <si>
    <t>22408010127</t>
  </si>
  <si>
    <t>徐彤</t>
  </si>
  <si>
    <t>22408010128</t>
  </si>
  <si>
    <t>代斯阳</t>
  </si>
  <si>
    <t>22408010129</t>
  </si>
  <si>
    <t>武琼</t>
  </si>
  <si>
    <t>22408010130</t>
  </si>
  <si>
    <t>房玉梅</t>
  </si>
  <si>
    <t>22408010131</t>
  </si>
  <si>
    <t>马晓春</t>
  </si>
  <si>
    <t>22408010132</t>
  </si>
  <si>
    <t>杨会萍</t>
  </si>
  <si>
    <t>22408010201</t>
  </si>
  <si>
    <t>杨春皓</t>
  </si>
  <si>
    <t>软件工程2202</t>
  </si>
  <si>
    <t>22408010202</t>
  </si>
  <si>
    <t>蔡帅祥</t>
  </si>
  <si>
    <t>22408010203</t>
  </si>
  <si>
    <t>李澄霖</t>
  </si>
  <si>
    <t>22408010204</t>
  </si>
  <si>
    <t>唐昌隆</t>
  </si>
  <si>
    <t>22408010205</t>
  </si>
  <si>
    <t>王超</t>
  </si>
  <si>
    <t>22408010207</t>
  </si>
  <si>
    <t>李佳成</t>
  </si>
  <si>
    <t>22408010208</t>
  </si>
  <si>
    <t>王东亮</t>
  </si>
  <si>
    <t>22408010209</t>
  </si>
  <si>
    <t>杨元超</t>
  </si>
  <si>
    <t>22408010210</t>
  </si>
  <si>
    <t>李琪</t>
  </si>
  <si>
    <t>22408010211</t>
  </si>
  <si>
    <t>白植检</t>
  </si>
  <si>
    <t>22408010212</t>
  </si>
  <si>
    <t>李欣龙</t>
  </si>
  <si>
    <t>22408010213</t>
  </si>
  <si>
    <t>屈锦琪</t>
  </si>
  <si>
    <t>22408010214</t>
  </si>
  <si>
    <t>李子昂</t>
  </si>
  <si>
    <t>22408010215</t>
  </si>
  <si>
    <t>温博文</t>
  </si>
  <si>
    <t>22408010216</t>
  </si>
  <si>
    <t>陈阳豪</t>
  </si>
  <si>
    <t>22408010217</t>
  </si>
  <si>
    <t>马佳锐</t>
  </si>
  <si>
    <t>22408010218</t>
  </si>
  <si>
    <t>李祥瑞</t>
  </si>
  <si>
    <t>22408010219</t>
  </si>
  <si>
    <t>牛永刚</t>
  </si>
  <si>
    <t>22408010220</t>
  </si>
  <si>
    <t>李耀炳</t>
  </si>
  <si>
    <t>22408010221</t>
  </si>
  <si>
    <t>张佳豪</t>
  </si>
  <si>
    <t>22408010222</t>
  </si>
  <si>
    <t>艾力扎提·吾拉木</t>
  </si>
  <si>
    <t>22408010223</t>
  </si>
  <si>
    <t>陈景林</t>
  </si>
  <si>
    <t>22408010224</t>
  </si>
  <si>
    <t>张茹萍</t>
  </si>
  <si>
    <t>22408010226</t>
  </si>
  <si>
    <t>任婉荣</t>
  </si>
  <si>
    <t>22408010227</t>
  </si>
  <si>
    <t>王珂凡</t>
  </si>
  <si>
    <t>22408010228</t>
  </si>
  <si>
    <t>权佳</t>
  </si>
  <si>
    <t>22408010229</t>
  </si>
  <si>
    <t>闫格格</t>
  </si>
  <si>
    <t>22408010230</t>
  </si>
  <si>
    <t>刘芷扬</t>
  </si>
  <si>
    <t>22408010231</t>
  </si>
  <si>
    <t>任秋雨</t>
  </si>
  <si>
    <t>22408060121</t>
  </si>
  <si>
    <t>黄叶青</t>
  </si>
  <si>
    <t>22408010301</t>
  </si>
  <si>
    <t>李长洁</t>
  </si>
  <si>
    <t>软件工程2203</t>
  </si>
  <si>
    <t>22408010302</t>
  </si>
  <si>
    <t>张秉瑶</t>
  </si>
  <si>
    <t>22408010303</t>
  </si>
  <si>
    <t>黄建琨</t>
  </si>
  <si>
    <t>22408010304</t>
  </si>
  <si>
    <t>卢杨旭</t>
  </si>
  <si>
    <t>22408010305</t>
  </si>
  <si>
    <t>解碧涛</t>
  </si>
  <si>
    <t>22408010306</t>
  </si>
  <si>
    <t>李德玉</t>
  </si>
  <si>
    <t>22408010307</t>
  </si>
  <si>
    <t>金顶涛</t>
  </si>
  <si>
    <t>樊卫青</t>
  </si>
  <si>
    <t>22408010309</t>
  </si>
  <si>
    <t>李江涛</t>
  </si>
  <si>
    <t>22408010310</t>
  </si>
  <si>
    <t>王西徽</t>
  </si>
  <si>
    <t>22408010311</t>
  </si>
  <si>
    <t>周瑞</t>
  </si>
  <si>
    <t>22408010312</t>
  </si>
  <si>
    <t>夏鑫</t>
  </si>
  <si>
    <t>22408010313</t>
  </si>
  <si>
    <t>姚一鸣</t>
  </si>
  <si>
    <t>22408010314</t>
  </si>
  <si>
    <t>秦方舟</t>
  </si>
  <si>
    <t>22408010315</t>
  </si>
  <si>
    <t>胡煜一凡</t>
  </si>
  <si>
    <t>22408010316</t>
  </si>
  <si>
    <t>郗鑫哲</t>
  </si>
  <si>
    <t>22408010317</t>
  </si>
  <si>
    <t>刘鹏超</t>
  </si>
  <si>
    <t>22408010318</t>
  </si>
  <si>
    <t>张科宇</t>
  </si>
  <si>
    <t>22408010319</t>
  </si>
  <si>
    <t>乔琦</t>
  </si>
  <si>
    <t>22408010320</t>
  </si>
  <si>
    <t>侯晨曦</t>
  </si>
  <si>
    <t>22408010321</t>
  </si>
  <si>
    <t>程子昂</t>
  </si>
  <si>
    <t>22408010322</t>
  </si>
  <si>
    <t>刘东方</t>
  </si>
  <si>
    <t>22408010323</t>
  </si>
  <si>
    <t>李通</t>
  </si>
  <si>
    <t>22408010324</t>
  </si>
  <si>
    <t>张浩</t>
  </si>
  <si>
    <t>22408010325</t>
  </si>
  <si>
    <t>阿不都赛米·阿不都西</t>
  </si>
  <si>
    <t>22408010326</t>
  </si>
  <si>
    <t>李佳兴</t>
  </si>
  <si>
    <t>22408010327</t>
  </si>
  <si>
    <t>康佳慧</t>
  </si>
  <si>
    <t>22408010328</t>
  </si>
  <si>
    <t>薛梦柔</t>
  </si>
  <si>
    <t>22408010329</t>
  </si>
  <si>
    <t>郝思颖</t>
  </si>
  <si>
    <t>22408010330</t>
  </si>
  <si>
    <t>夏琳璇</t>
  </si>
  <si>
    <t>22408010331</t>
  </si>
  <si>
    <t>陈悦</t>
  </si>
  <si>
    <t>22411040112</t>
  </si>
  <si>
    <t>马俊豪</t>
  </si>
  <si>
    <t>22401010111</t>
  </si>
  <si>
    <t>王树柏</t>
  </si>
  <si>
    <t>软件工程2204</t>
  </si>
  <si>
    <t>22408010401</t>
  </si>
  <si>
    <t>郑兴宇</t>
  </si>
  <si>
    <t>22408010402</t>
  </si>
  <si>
    <t>张书豪</t>
  </si>
  <si>
    <t>22408010403</t>
  </si>
  <si>
    <t>李江楠</t>
  </si>
  <si>
    <t>22408010404</t>
  </si>
  <si>
    <t>雷升炎</t>
  </si>
  <si>
    <t>22408010405</t>
  </si>
  <si>
    <t>柴宇扬</t>
  </si>
  <si>
    <t>22408010406</t>
  </si>
  <si>
    <t>李奥宇</t>
  </si>
  <si>
    <t>22408010407</t>
  </si>
  <si>
    <t>任博智</t>
  </si>
  <si>
    <t>22408010408</t>
  </si>
  <si>
    <t>牛鑫</t>
  </si>
  <si>
    <t>22408010409</t>
  </si>
  <si>
    <t>吴一为</t>
  </si>
  <si>
    <t>22408010410</t>
  </si>
  <si>
    <t>王欣乐</t>
  </si>
  <si>
    <t>22408010411</t>
  </si>
  <si>
    <t>宋明瑞</t>
  </si>
  <si>
    <t>22408010412</t>
  </si>
  <si>
    <t>王雨豪</t>
  </si>
  <si>
    <t>22408010413</t>
  </si>
  <si>
    <t>钟绍辉</t>
  </si>
  <si>
    <t>22408010414</t>
  </si>
  <si>
    <t>李朝阳</t>
  </si>
  <si>
    <t>22408010415</t>
  </si>
  <si>
    <t>王章博</t>
  </si>
  <si>
    <t>22408010416</t>
  </si>
  <si>
    <t>沈子杰</t>
  </si>
  <si>
    <t>22408010417</t>
  </si>
  <si>
    <t>杨海杰</t>
  </si>
  <si>
    <t>22408010418</t>
  </si>
  <si>
    <t>麦尔丹·亚力坤</t>
  </si>
  <si>
    <t>22408010419</t>
  </si>
  <si>
    <t>胡冰滢</t>
  </si>
  <si>
    <t>22408010420</t>
  </si>
  <si>
    <t>邓祎珂</t>
  </si>
  <si>
    <t>22408010421</t>
  </si>
  <si>
    <t>何思娓</t>
  </si>
  <si>
    <t>22408010422</t>
  </si>
  <si>
    <t>童蕊娇</t>
  </si>
  <si>
    <t>22408010423</t>
  </si>
  <si>
    <t>杨鑫荣</t>
  </si>
  <si>
    <t>22408010424</t>
  </si>
  <si>
    <t>白佳彤</t>
  </si>
  <si>
    <t>22408010425</t>
  </si>
  <si>
    <t>杨艺萌</t>
  </si>
  <si>
    <t>22408010426</t>
  </si>
  <si>
    <t>蒋旭瑞</t>
  </si>
  <si>
    <t>22408010427</t>
  </si>
  <si>
    <t>惠锦子</t>
  </si>
  <si>
    <t>22408010428</t>
  </si>
  <si>
    <t>夏琳星妍</t>
  </si>
  <si>
    <t>22408010429</t>
  </si>
  <si>
    <t>郑贝贝</t>
  </si>
  <si>
    <t>22408010430</t>
  </si>
  <si>
    <t>贺嘉瑞</t>
  </si>
  <si>
    <t>22408010431</t>
  </si>
  <si>
    <t>蒋芳卓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</si>
</sst>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b/>
      <sz val="15"/>
      <color indexed="10"/>
      <name val="黑体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10"/>
      <name val="Arial"/>
      <charset val="1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/>
    <xf numFmtId="176" fontId="0" fillId="0" borderId="0" xfId="0" applyNumberFormat="1"/>
    <xf numFmtId="0" fontId="0" fillId="3" borderId="0" xfId="0" applyFont="1" applyFill="1" applyAlignment="1"/>
    <xf numFmtId="176" fontId="0" fillId="3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9"/>
  <sheetViews>
    <sheetView tabSelected="1" workbookViewId="0">
      <selection activeCell="K2" sqref="K2"/>
    </sheetView>
  </sheetViews>
  <sheetFormatPr defaultColWidth="9" defaultRowHeight="13.5"/>
  <cols>
    <col min="1" max="1" width="16.25" customWidth="1"/>
    <col min="2" max="2" width="10" customWidth="1"/>
    <col min="3" max="3" width="15" customWidth="1"/>
    <col min="4" max="4" width="15.25" customWidth="1"/>
    <col min="5" max="5" width="14.25" customWidth="1"/>
    <col min="6" max="6" width="16.5" customWidth="1"/>
    <col min="7" max="7" width="15.375" customWidth="1"/>
    <col min="8" max="8" width="17.125" customWidth="1"/>
    <col min="9" max="9" width="14.25" customWidth="1"/>
    <col min="10" max="10" width="17.125" customWidth="1"/>
    <col min="11" max="11" width="13.5" customWidth="1"/>
  </cols>
  <sheetData>
    <row r="1" ht="19.5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s="2">
        <v>92</v>
      </c>
      <c r="E2" s="2">
        <v>100</v>
      </c>
      <c r="F2" s="2">
        <v>100</v>
      </c>
      <c r="G2" s="2">
        <v>100</v>
      </c>
      <c r="H2" s="2">
        <v>82</v>
      </c>
      <c r="I2" s="2">
        <v>100</v>
      </c>
      <c r="J2" s="3">
        <f>(D2*7/100+E2*9/100+F2*7/100+G2*7/100)/30*100</f>
        <v>98.1333333333333</v>
      </c>
      <c r="K2" s="3">
        <f>(H2*60/100+I2*10/100)/70*100</f>
        <v>84.5714285714286</v>
      </c>
    </row>
    <row r="3" spans="1:11">
      <c r="A3" t="s">
        <v>14</v>
      </c>
      <c r="B3" t="s">
        <v>15</v>
      </c>
      <c r="C3" t="s">
        <v>13</v>
      </c>
      <c r="D3" s="2">
        <v>88</v>
      </c>
      <c r="E3" s="2">
        <v>96</v>
      </c>
      <c r="F3" s="2">
        <v>88</v>
      </c>
      <c r="G3" s="2">
        <v>80</v>
      </c>
      <c r="H3" s="2">
        <v>82</v>
      </c>
      <c r="I3" s="2">
        <v>100</v>
      </c>
      <c r="J3" s="3">
        <f t="shared" ref="J3:J34" si="0">(D3*7/100+E3*9/100+F3*7/100+G3*7/100)/30*100</f>
        <v>88.5333333333333</v>
      </c>
      <c r="K3" s="3">
        <f t="shared" ref="K3:K34" si="1">(H3*60/100+I3*10/100)/70*100</f>
        <v>84.5714285714286</v>
      </c>
    </row>
    <row r="4" spans="1:11">
      <c r="A4" t="s">
        <v>16</v>
      </c>
      <c r="B4" t="s">
        <v>17</v>
      </c>
      <c r="C4" t="s">
        <v>13</v>
      </c>
      <c r="D4" s="2">
        <v>84</v>
      </c>
      <c r="E4" s="2">
        <v>100</v>
      </c>
      <c r="F4" s="2">
        <v>80</v>
      </c>
      <c r="G4" s="2">
        <v>100</v>
      </c>
      <c r="H4" s="2">
        <v>100</v>
      </c>
      <c r="I4" s="2">
        <v>100</v>
      </c>
      <c r="J4" s="3">
        <f t="shared" si="0"/>
        <v>91.6</v>
      </c>
      <c r="K4" s="3">
        <f t="shared" si="1"/>
        <v>100</v>
      </c>
    </row>
    <row r="5" spans="1:11">
      <c r="A5" t="s">
        <v>18</v>
      </c>
      <c r="B5" t="s">
        <v>19</v>
      </c>
      <c r="C5" t="s">
        <v>13</v>
      </c>
      <c r="D5" s="2">
        <v>92</v>
      </c>
      <c r="E5" s="2">
        <v>100</v>
      </c>
      <c r="F5" s="2">
        <v>100</v>
      </c>
      <c r="G5" s="2">
        <v>100</v>
      </c>
      <c r="H5" s="2">
        <v>82</v>
      </c>
      <c r="I5" s="2">
        <v>100</v>
      </c>
      <c r="J5" s="3">
        <f t="shared" si="0"/>
        <v>98.1333333333333</v>
      </c>
      <c r="K5" s="3">
        <f t="shared" si="1"/>
        <v>84.5714285714286</v>
      </c>
    </row>
    <row r="6" spans="1:11">
      <c r="A6" t="s">
        <v>20</v>
      </c>
      <c r="B6" t="s">
        <v>21</v>
      </c>
      <c r="C6" t="s">
        <v>13</v>
      </c>
      <c r="D6" s="2">
        <v>84</v>
      </c>
      <c r="E6" s="2">
        <v>100</v>
      </c>
      <c r="F6" s="2">
        <v>80</v>
      </c>
      <c r="G6" s="2">
        <v>100</v>
      </c>
      <c r="H6" s="2">
        <v>100</v>
      </c>
      <c r="I6" s="2">
        <v>100</v>
      </c>
      <c r="J6" s="3">
        <f t="shared" si="0"/>
        <v>91.6</v>
      </c>
      <c r="K6" s="3">
        <f t="shared" si="1"/>
        <v>100</v>
      </c>
    </row>
    <row r="7" spans="1:11">
      <c r="A7" t="s">
        <v>22</v>
      </c>
      <c r="B7" t="s">
        <v>23</v>
      </c>
      <c r="C7" t="s">
        <v>13</v>
      </c>
      <c r="D7" s="2">
        <v>84</v>
      </c>
      <c r="E7" s="2">
        <v>100</v>
      </c>
      <c r="F7" s="2">
        <v>80</v>
      </c>
      <c r="G7" s="2">
        <v>100</v>
      </c>
      <c r="H7" s="2">
        <v>100</v>
      </c>
      <c r="I7" s="2">
        <v>100</v>
      </c>
      <c r="J7" s="3">
        <f t="shared" si="0"/>
        <v>91.6</v>
      </c>
      <c r="K7" s="3">
        <f t="shared" si="1"/>
        <v>100</v>
      </c>
    </row>
    <row r="8" spans="1:11">
      <c r="A8" t="s">
        <v>24</v>
      </c>
      <c r="B8" t="s">
        <v>25</v>
      </c>
      <c r="C8" t="s">
        <v>13</v>
      </c>
      <c r="D8" s="2">
        <v>84</v>
      </c>
      <c r="E8" s="2">
        <v>100</v>
      </c>
      <c r="F8" s="2">
        <v>80</v>
      </c>
      <c r="G8" s="2">
        <v>100</v>
      </c>
      <c r="H8" s="2">
        <v>100</v>
      </c>
      <c r="I8" s="2">
        <v>100</v>
      </c>
      <c r="J8" s="3">
        <f t="shared" si="0"/>
        <v>91.6</v>
      </c>
      <c r="K8" s="3">
        <f t="shared" si="1"/>
        <v>100</v>
      </c>
    </row>
    <row r="9" spans="1:11">
      <c r="A9" t="s">
        <v>26</v>
      </c>
      <c r="B9" t="s">
        <v>27</v>
      </c>
      <c r="C9" t="s">
        <v>13</v>
      </c>
      <c r="D9" s="2">
        <v>92</v>
      </c>
      <c r="E9" s="2">
        <v>100</v>
      </c>
      <c r="F9" s="2">
        <v>100</v>
      </c>
      <c r="G9" s="2">
        <v>100</v>
      </c>
      <c r="H9" s="2">
        <v>82</v>
      </c>
      <c r="I9" s="2">
        <v>100</v>
      </c>
      <c r="J9" s="3">
        <f t="shared" si="0"/>
        <v>98.1333333333333</v>
      </c>
      <c r="K9" s="3">
        <f t="shared" si="1"/>
        <v>84.5714285714286</v>
      </c>
    </row>
    <row r="10" spans="1:11">
      <c r="A10" t="s">
        <v>28</v>
      </c>
      <c r="B10" t="s">
        <v>29</v>
      </c>
      <c r="C10" t="s">
        <v>13</v>
      </c>
      <c r="D10" s="2">
        <v>92</v>
      </c>
      <c r="E10" s="2">
        <v>92</v>
      </c>
      <c r="F10" s="2">
        <v>100</v>
      </c>
      <c r="G10" s="2">
        <v>100</v>
      </c>
      <c r="H10" s="2">
        <v>82</v>
      </c>
      <c r="I10" s="2">
        <v>100</v>
      </c>
      <c r="J10" s="3">
        <f t="shared" si="0"/>
        <v>95.7333333333333</v>
      </c>
      <c r="K10" s="3">
        <f t="shared" si="1"/>
        <v>84.5714285714286</v>
      </c>
    </row>
    <row r="11" spans="1:11">
      <c r="A11" t="s">
        <v>30</v>
      </c>
      <c r="B11" t="s">
        <v>31</v>
      </c>
      <c r="C11" t="s">
        <v>13</v>
      </c>
      <c r="D11" s="2">
        <v>92</v>
      </c>
      <c r="E11" s="2">
        <v>92</v>
      </c>
      <c r="F11" s="2">
        <v>100</v>
      </c>
      <c r="G11" s="2">
        <v>100</v>
      </c>
      <c r="H11" s="2">
        <v>82</v>
      </c>
      <c r="I11" s="2">
        <v>100</v>
      </c>
      <c r="J11" s="3">
        <f t="shared" si="0"/>
        <v>95.7333333333333</v>
      </c>
      <c r="K11" s="3">
        <f t="shared" si="1"/>
        <v>84.5714285714286</v>
      </c>
    </row>
    <row r="12" spans="1:11">
      <c r="A12" t="s">
        <v>32</v>
      </c>
      <c r="B12" t="s">
        <v>33</v>
      </c>
      <c r="C12" t="s">
        <v>13</v>
      </c>
      <c r="D12" s="2">
        <v>92</v>
      </c>
      <c r="E12" s="2">
        <v>100</v>
      </c>
      <c r="F12" s="2">
        <v>100</v>
      </c>
      <c r="G12" s="2">
        <v>100</v>
      </c>
      <c r="H12" s="2">
        <v>82</v>
      </c>
      <c r="I12" s="2">
        <v>100</v>
      </c>
      <c r="J12" s="3">
        <f t="shared" si="0"/>
        <v>98.1333333333333</v>
      </c>
      <c r="K12" s="3">
        <f t="shared" si="1"/>
        <v>84.5714285714286</v>
      </c>
    </row>
    <row r="13" spans="1:11">
      <c r="A13" t="s">
        <v>34</v>
      </c>
      <c r="B13" t="s">
        <v>35</v>
      </c>
      <c r="C13" t="s">
        <v>13</v>
      </c>
      <c r="D13" s="2">
        <v>92</v>
      </c>
      <c r="E13" s="2">
        <v>100</v>
      </c>
      <c r="F13" s="2">
        <v>100</v>
      </c>
      <c r="G13" s="2">
        <v>100</v>
      </c>
      <c r="H13" s="2">
        <v>82</v>
      </c>
      <c r="I13" s="2">
        <v>100</v>
      </c>
      <c r="J13" s="3">
        <f t="shared" si="0"/>
        <v>98.1333333333333</v>
      </c>
      <c r="K13" s="3">
        <f t="shared" si="1"/>
        <v>84.5714285714286</v>
      </c>
    </row>
    <row r="14" spans="1:11">
      <c r="A14" t="s">
        <v>36</v>
      </c>
      <c r="B14" t="s">
        <v>37</v>
      </c>
      <c r="C14" t="s">
        <v>13</v>
      </c>
      <c r="D14" s="2">
        <v>92</v>
      </c>
      <c r="E14" s="2">
        <v>92</v>
      </c>
      <c r="F14" s="2">
        <v>100</v>
      </c>
      <c r="G14" s="2">
        <v>100</v>
      </c>
      <c r="H14" s="2">
        <v>82</v>
      </c>
      <c r="I14" s="2">
        <v>100</v>
      </c>
      <c r="J14" s="3">
        <f t="shared" si="0"/>
        <v>95.7333333333333</v>
      </c>
      <c r="K14" s="3">
        <f t="shared" si="1"/>
        <v>84.5714285714286</v>
      </c>
    </row>
    <row r="15" spans="1:11">
      <c r="A15" t="s">
        <v>38</v>
      </c>
      <c r="B15" t="s">
        <v>39</v>
      </c>
      <c r="C15" t="s">
        <v>13</v>
      </c>
      <c r="D15" s="2">
        <v>96</v>
      </c>
      <c r="E15" s="2">
        <v>100</v>
      </c>
      <c r="F15" s="2">
        <v>100</v>
      </c>
      <c r="G15" s="2">
        <v>100</v>
      </c>
      <c r="H15" s="2">
        <v>82</v>
      </c>
      <c r="I15" s="2">
        <v>100</v>
      </c>
      <c r="J15" s="3">
        <f t="shared" si="0"/>
        <v>99.0666666666667</v>
      </c>
      <c r="K15" s="3">
        <f t="shared" si="1"/>
        <v>84.5714285714286</v>
      </c>
    </row>
    <row r="16" spans="1:11">
      <c r="A16" t="s">
        <v>40</v>
      </c>
      <c r="B16" t="s">
        <v>41</v>
      </c>
      <c r="C16" t="s">
        <v>13</v>
      </c>
      <c r="D16" s="2">
        <v>96</v>
      </c>
      <c r="E16" s="2">
        <v>100</v>
      </c>
      <c r="F16" s="2">
        <v>100</v>
      </c>
      <c r="G16" s="2">
        <v>100</v>
      </c>
      <c r="H16" s="2">
        <v>82</v>
      </c>
      <c r="I16" s="2">
        <v>100</v>
      </c>
      <c r="J16" s="3">
        <f t="shared" si="0"/>
        <v>99.0666666666667</v>
      </c>
      <c r="K16" s="3">
        <f t="shared" si="1"/>
        <v>84.5714285714286</v>
      </c>
    </row>
    <row r="17" spans="1:11">
      <c r="A17" t="s">
        <v>42</v>
      </c>
      <c r="B17" t="s">
        <v>43</v>
      </c>
      <c r="C17" t="s">
        <v>13</v>
      </c>
      <c r="D17" s="2">
        <v>84</v>
      </c>
      <c r="E17" s="2">
        <v>92</v>
      </c>
      <c r="F17" s="2">
        <v>84</v>
      </c>
      <c r="G17" s="2">
        <v>100</v>
      </c>
      <c r="H17" s="2">
        <v>82</v>
      </c>
      <c r="I17" s="2">
        <v>80</v>
      </c>
      <c r="J17" s="3">
        <f t="shared" si="0"/>
        <v>90.1333333333333</v>
      </c>
      <c r="K17" s="3">
        <f t="shared" si="1"/>
        <v>81.7142857142857</v>
      </c>
    </row>
    <row r="18" spans="1:11">
      <c r="A18" t="s">
        <v>44</v>
      </c>
      <c r="B18" t="s">
        <v>45</v>
      </c>
      <c r="C18" t="s">
        <v>13</v>
      </c>
      <c r="D18" s="2">
        <v>84</v>
      </c>
      <c r="E18" s="2">
        <v>92</v>
      </c>
      <c r="F18" s="2">
        <v>84</v>
      </c>
      <c r="G18" s="2">
        <v>100</v>
      </c>
      <c r="H18" s="2">
        <v>82</v>
      </c>
      <c r="I18" s="2">
        <v>80</v>
      </c>
      <c r="J18" s="3">
        <f t="shared" si="0"/>
        <v>90.1333333333333</v>
      </c>
      <c r="K18" s="3">
        <f t="shared" si="1"/>
        <v>81.7142857142857</v>
      </c>
    </row>
    <row r="19" spans="1:11">
      <c r="A19" t="s">
        <v>46</v>
      </c>
      <c r="B19" t="s">
        <v>47</v>
      </c>
      <c r="C19" t="s">
        <v>13</v>
      </c>
      <c r="D19" s="2">
        <v>84</v>
      </c>
      <c r="E19" s="2">
        <v>92</v>
      </c>
      <c r="F19" s="2">
        <v>84</v>
      </c>
      <c r="G19" s="2">
        <v>100</v>
      </c>
      <c r="H19" s="2">
        <v>82</v>
      </c>
      <c r="I19" s="2">
        <v>80</v>
      </c>
      <c r="J19" s="3">
        <f t="shared" si="0"/>
        <v>90.1333333333333</v>
      </c>
      <c r="K19" s="3">
        <f t="shared" si="1"/>
        <v>81.7142857142857</v>
      </c>
    </row>
    <row r="20" spans="1:11">
      <c r="A20" t="s">
        <v>48</v>
      </c>
      <c r="B20" t="s">
        <v>49</v>
      </c>
      <c r="C20" t="s">
        <v>13</v>
      </c>
      <c r="D20" s="2">
        <v>84</v>
      </c>
      <c r="E20" s="2">
        <v>92</v>
      </c>
      <c r="F20" s="2">
        <v>84</v>
      </c>
      <c r="G20" s="2">
        <v>100</v>
      </c>
      <c r="H20" s="2">
        <v>82</v>
      </c>
      <c r="I20" s="2">
        <v>80</v>
      </c>
      <c r="J20" s="3">
        <f t="shared" si="0"/>
        <v>90.1333333333333</v>
      </c>
      <c r="K20" s="3">
        <f t="shared" si="1"/>
        <v>81.7142857142857</v>
      </c>
    </row>
    <row r="21" spans="1:11">
      <c r="A21" t="s">
        <v>50</v>
      </c>
      <c r="B21" t="s">
        <v>51</v>
      </c>
      <c r="C21" t="s">
        <v>13</v>
      </c>
      <c r="D21" s="2">
        <v>84</v>
      </c>
      <c r="E21" s="2">
        <v>100</v>
      </c>
      <c r="F21" s="2">
        <v>80</v>
      </c>
      <c r="G21" s="2">
        <v>100</v>
      </c>
      <c r="H21" s="2">
        <v>100</v>
      </c>
      <c r="I21" s="2">
        <v>100</v>
      </c>
      <c r="J21" s="3">
        <f t="shared" si="0"/>
        <v>91.6</v>
      </c>
      <c r="K21" s="3">
        <f t="shared" si="1"/>
        <v>100</v>
      </c>
    </row>
    <row r="22" spans="1:11">
      <c r="A22" t="s">
        <v>52</v>
      </c>
      <c r="B22" t="s">
        <v>53</v>
      </c>
      <c r="C22" t="s">
        <v>13</v>
      </c>
      <c r="D22" s="2">
        <v>92</v>
      </c>
      <c r="E22" s="2">
        <v>92</v>
      </c>
      <c r="F22" s="2">
        <v>100</v>
      </c>
      <c r="G22" s="2">
        <v>100</v>
      </c>
      <c r="H22" s="2">
        <v>82</v>
      </c>
      <c r="I22" s="2">
        <v>100</v>
      </c>
      <c r="J22" s="3">
        <f t="shared" si="0"/>
        <v>95.7333333333333</v>
      </c>
      <c r="K22" s="3">
        <f t="shared" si="1"/>
        <v>84.5714285714286</v>
      </c>
    </row>
    <row r="23" spans="1:11">
      <c r="A23" t="s">
        <v>54</v>
      </c>
      <c r="B23" t="s">
        <v>55</v>
      </c>
      <c r="C23" t="s">
        <v>13</v>
      </c>
      <c r="D23" s="2">
        <v>92</v>
      </c>
      <c r="E23" s="2">
        <v>100</v>
      </c>
      <c r="F23" s="2">
        <v>100</v>
      </c>
      <c r="G23" s="2">
        <v>100</v>
      </c>
      <c r="H23" s="2">
        <v>100</v>
      </c>
      <c r="I23" s="2">
        <v>100</v>
      </c>
      <c r="J23" s="3">
        <f t="shared" si="0"/>
        <v>98.1333333333333</v>
      </c>
      <c r="K23" s="3">
        <f t="shared" si="1"/>
        <v>100</v>
      </c>
    </row>
    <row r="24" spans="1:11">
      <c r="A24" t="s">
        <v>56</v>
      </c>
      <c r="B24" t="s">
        <v>57</v>
      </c>
      <c r="C24" t="s">
        <v>13</v>
      </c>
      <c r="D24" s="2">
        <v>80</v>
      </c>
      <c r="E24" s="2">
        <v>100</v>
      </c>
      <c r="F24" s="2">
        <v>100</v>
      </c>
      <c r="G24" s="2">
        <v>100</v>
      </c>
      <c r="H24" s="2">
        <v>100</v>
      </c>
      <c r="I24" s="2">
        <v>100</v>
      </c>
      <c r="J24" s="3">
        <f t="shared" si="0"/>
        <v>95.3333333333333</v>
      </c>
      <c r="K24" s="3">
        <f t="shared" si="1"/>
        <v>100</v>
      </c>
    </row>
    <row r="25" spans="1:11">
      <c r="A25" t="s">
        <v>58</v>
      </c>
      <c r="B25" t="s">
        <v>59</v>
      </c>
      <c r="C25" t="s">
        <v>13</v>
      </c>
      <c r="D25" s="2">
        <v>80</v>
      </c>
      <c r="E25" s="2">
        <v>100</v>
      </c>
      <c r="F25" s="2">
        <v>100</v>
      </c>
      <c r="G25" s="2">
        <v>100</v>
      </c>
      <c r="H25" s="2">
        <v>100</v>
      </c>
      <c r="I25" s="2">
        <v>100</v>
      </c>
      <c r="J25" s="3">
        <f t="shared" si="0"/>
        <v>95.3333333333333</v>
      </c>
      <c r="K25" s="3">
        <f t="shared" si="1"/>
        <v>100</v>
      </c>
    </row>
    <row r="26" spans="1:11">
      <c r="A26" t="s">
        <v>60</v>
      </c>
      <c r="B26" t="s">
        <v>61</v>
      </c>
      <c r="C26" t="s">
        <v>13</v>
      </c>
      <c r="D26" s="2">
        <v>92</v>
      </c>
      <c r="E26" s="2">
        <v>100</v>
      </c>
      <c r="F26" s="2">
        <v>100</v>
      </c>
      <c r="G26" s="2">
        <v>100</v>
      </c>
      <c r="H26" s="2">
        <v>100</v>
      </c>
      <c r="I26" s="2">
        <v>100</v>
      </c>
      <c r="J26" s="3">
        <f t="shared" si="0"/>
        <v>98.1333333333333</v>
      </c>
      <c r="K26" s="3">
        <f t="shared" si="1"/>
        <v>100</v>
      </c>
    </row>
    <row r="27" spans="1:11">
      <c r="A27" t="s">
        <v>62</v>
      </c>
      <c r="B27" t="s">
        <v>63</v>
      </c>
      <c r="C27" t="s">
        <v>13</v>
      </c>
      <c r="D27" s="2">
        <v>92</v>
      </c>
      <c r="E27" s="2">
        <v>100</v>
      </c>
      <c r="F27" s="2">
        <v>100</v>
      </c>
      <c r="G27" s="2">
        <v>100</v>
      </c>
      <c r="H27" s="2">
        <v>100</v>
      </c>
      <c r="I27" s="2">
        <v>100</v>
      </c>
      <c r="J27" s="3">
        <f t="shared" si="0"/>
        <v>98.1333333333333</v>
      </c>
      <c r="K27" s="3">
        <f t="shared" si="1"/>
        <v>100</v>
      </c>
    </row>
    <row r="28" spans="1:11">
      <c r="A28" t="s">
        <v>64</v>
      </c>
      <c r="B28" t="s">
        <v>65</v>
      </c>
      <c r="C28" t="s">
        <v>13</v>
      </c>
      <c r="D28" s="2">
        <v>92</v>
      </c>
      <c r="E28" s="2">
        <v>100</v>
      </c>
      <c r="F28" s="2">
        <v>100</v>
      </c>
      <c r="G28" s="2">
        <v>100</v>
      </c>
      <c r="H28" s="2">
        <v>100</v>
      </c>
      <c r="I28" s="2">
        <v>100</v>
      </c>
      <c r="J28" s="3">
        <f t="shared" si="0"/>
        <v>98.1333333333333</v>
      </c>
      <c r="K28" s="3">
        <f t="shared" si="1"/>
        <v>100</v>
      </c>
    </row>
    <row r="29" spans="1:11">
      <c r="A29" t="s">
        <v>66</v>
      </c>
      <c r="B29" t="s">
        <v>67</v>
      </c>
      <c r="C29" t="s">
        <v>13</v>
      </c>
      <c r="D29" s="2">
        <v>92</v>
      </c>
      <c r="E29" s="2">
        <v>100</v>
      </c>
      <c r="F29" s="2">
        <v>84</v>
      </c>
      <c r="G29" s="2">
        <v>100</v>
      </c>
      <c r="H29" s="2">
        <v>100</v>
      </c>
      <c r="I29" s="2">
        <v>100</v>
      </c>
      <c r="J29" s="3">
        <f t="shared" si="0"/>
        <v>94.4</v>
      </c>
      <c r="K29" s="3">
        <f t="shared" si="1"/>
        <v>100</v>
      </c>
    </row>
    <row r="30" spans="1:11">
      <c r="A30" t="s">
        <v>68</v>
      </c>
      <c r="B30" t="s">
        <v>69</v>
      </c>
      <c r="C30" t="s">
        <v>13</v>
      </c>
      <c r="D30" s="2">
        <v>92</v>
      </c>
      <c r="E30" s="2">
        <v>100</v>
      </c>
      <c r="F30" s="2">
        <v>84</v>
      </c>
      <c r="G30" s="2">
        <v>100</v>
      </c>
      <c r="H30" s="2">
        <v>100</v>
      </c>
      <c r="I30" s="2">
        <v>100</v>
      </c>
      <c r="J30" s="3">
        <f t="shared" si="0"/>
        <v>94.4</v>
      </c>
      <c r="K30" s="3">
        <f t="shared" si="1"/>
        <v>100</v>
      </c>
    </row>
    <row r="31" spans="1:11">
      <c r="A31" t="s">
        <v>70</v>
      </c>
      <c r="B31" t="s">
        <v>71</v>
      </c>
      <c r="C31" t="s">
        <v>13</v>
      </c>
      <c r="D31" s="2">
        <v>88</v>
      </c>
      <c r="E31" s="2">
        <v>92</v>
      </c>
      <c r="F31" s="2">
        <v>100</v>
      </c>
      <c r="G31" s="2">
        <v>100</v>
      </c>
      <c r="H31" s="2">
        <v>100</v>
      </c>
      <c r="I31" s="2">
        <v>80</v>
      </c>
      <c r="J31" s="3">
        <f t="shared" si="0"/>
        <v>94.8</v>
      </c>
      <c r="K31" s="3">
        <f t="shared" si="1"/>
        <v>97.1428571428571</v>
      </c>
    </row>
    <row r="32" spans="1:11">
      <c r="A32" t="s">
        <v>72</v>
      </c>
      <c r="B32" t="s">
        <v>73</v>
      </c>
      <c r="C32" t="s">
        <v>13</v>
      </c>
      <c r="D32" s="2">
        <v>88</v>
      </c>
      <c r="E32" s="2">
        <v>92</v>
      </c>
      <c r="F32" s="2">
        <v>100</v>
      </c>
      <c r="G32" s="2">
        <v>100</v>
      </c>
      <c r="H32" s="2">
        <v>100</v>
      </c>
      <c r="I32" s="2">
        <v>80</v>
      </c>
      <c r="J32" s="3">
        <f t="shared" si="0"/>
        <v>94.8</v>
      </c>
      <c r="K32" s="3">
        <f t="shared" si="1"/>
        <v>97.1428571428571</v>
      </c>
    </row>
    <row r="33" spans="1:11">
      <c r="A33" t="s">
        <v>74</v>
      </c>
      <c r="B33" t="s">
        <v>75</v>
      </c>
      <c r="C33" t="s">
        <v>13</v>
      </c>
      <c r="D33" s="2">
        <v>88</v>
      </c>
      <c r="E33" s="2">
        <v>92</v>
      </c>
      <c r="F33" s="2">
        <v>100</v>
      </c>
      <c r="G33" s="2">
        <v>100</v>
      </c>
      <c r="H33" s="2">
        <v>100</v>
      </c>
      <c r="I33" s="2">
        <v>80</v>
      </c>
      <c r="J33" s="3">
        <f t="shared" si="0"/>
        <v>94.8</v>
      </c>
      <c r="K33" s="3">
        <f t="shared" si="1"/>
        <v>97.1428571428571</v>
      </c>
    </row>
    <row r="34" spans="1:11">
      <c r="A34" t="s">
        <v>76</v>
      </c>
      <c r="B34" t="s">
        <v>77</v>
      </c>
      <c r="C34" t="s">
        <v>13</v>
      </c>
      <c r="D34" s="2">
        <v>92</v>
      </c>
      <c r="E34" s="2">
        <v>100</v>
      </c>
      <c r="F34" s="2">
        <v>84</v>
      </c>
      <c r="G34" s="2">
        <v>100</v>
      </c>
      <c r="H34" s="2">
        <v>100</v>
      </c>
      <c r="I34" s="2">
        <v>100</v>
      </c>
      <c r="J34" s="3">
        <f t="shared" si="0"/>
        <v>94.4</v>
      </c>
      <c r="K34" s="3">
        <f t="shared" si="1"/>
        <v>100</v>
      </c>
    </row>
    <row r="35" spans="1:11">
      <c r="A35" t="s">
        <v>78</v>
      </c>
      <c r="B35" t="s">
        <v>79</v>
      </c>
      <c r="C35" t="s">
        <v>13</v>
      </c>
      <c r="D35" s="2">
        <v>80</v>
      </c>
      <c r="E35" s="2">
        <v>100</v>
      </c>
      <c r="F35" s="2">
        <v>100</v>
      </c>
      <c r="G35" s="2">
        <v>100</v>
      </c>
      <c r="H35" s="2">
        <v>100</v>
      </c>
      <c r="I35" s="2">
        <v>100</v>
      </c>
      <c r="J35" s="3">
        <f t="shared" ref="J35:J66" si="2">(D35*7/100+E35*9/100+F35*7/100+G35*7/100)/30*100</f>
        <v>95.3333333333333</v>
      </c>
      <c r="K35" s="3">
        <f t="shared" ref="K35:K66" si="3">(H35*60/100+I35*10/100)/70*100</f>
        <v>100</v>
      </c>
    </row>
    <row r="36" spans="1:11">
      <c r="A36" t="s">
        <v>80</v>
      </c>
      <c r="B36" t="s">
        <v>81</v>
      </c>
      <c r="C36" t="s">
        <v>82</v>
      </c>
      <c r="D36" s="2">
        <v>92</v>
      </c>
      <c r="E36" s="2">
        <v>92</v>
      </c>
      <c r="F36" s="2">
        <v>84</v>
      </c>
      <c r="G36" s="2">
        <v>100</v>
      </c>
      <c r="H36" s="2">
        <v>82</v>
      </c>
      <c r="I36" s="2">
        <v>100</v>
      </c>
      <c r="J36" s="3">
        <f t="shared" si="2"/>
        <v>92</v>
      </c>
      <c r="K36" s="3">
        <f t="shared" si="3"/>
        <v>84.5714285714286</v>
      </c>
    </row>
    <row r="37" spans="1:11">
      <c r="A37" t="s">
        <v>83</v>
      </c>
      <c r="B37" t="s">
        <v>84</v>
      </c>
      <c r="C37" t="s">
        <v>82</v>
      </c>
      <c r="D37" s="2">
        <v>92</v>
      </c>
      <c r="E37" s="2">
        <v>92</v>
      </c>
      <c r="F37" s="2">
        <v>84</v>
      </c>
      <c r="G37" s="2">
        <v>100</v>
      </c>
      <c r="H37" s="2">
        <v>82</v>
      </c>
      <c r="I37" s="2">
        <v>100</v>
      </c>
      <c r="J37" s="3">
        <f t="shared" si="2"/>
        <v>92</v>
      </c>
      <c r="K37" s="3">
        <f t="shared" si="3"/>
        <v>84.5714285714286</v>
      </c>
    </row>
    <row r="38" spans="1:11">
      <c r="A38" t="s">
        <v>85</v>
      </c>
      <c r="B38" t="s">
        <v>86</v>
      </c>
      <c r="C38" t="s">
        <v>82</v>
      </c>
      <c r="D38" s="2">
        <v>92</v>
      </c>
      <c r="E38" s="2">
        <v>92</v>
      </c>
      <c r="F38" s="2">
        <v>84</v>
      </c>
      <c r="G38" s="2">
        <v>100</v>
      </c>
      <c r="H38" s="2">
        <v>82</v>
      </c>
      <c r="I38" s="2">
        <v>100</v>
      </c>
      <c r="J38" s="3">
        <f t="shared" si="2"/>
        <v>92</v>
      </c>
      <c r="K38" s="3">
        <f t="shared" si="3"/>
        <v>84.5714285714286</v>
      </c>
    </row>
    <row r="39" spans="1:11">
      <c r="A39" t="s">
        <v>87</v>
      </c>
      <c r="B39" t="s">
        <v>88</v>
      </c>
      <c r="C39" t="s">
        <v>82</v>
      </c>
      <c r="D39" s="2">
        <v>92</v>
      </c>
      <c r="E39" s="2">
        <v>92</v>
      </c>
      <c r="F39" s="2">
        <v>84</v>
      </c>
      <c r="G39" s="2">
        <v>100</v>
      </c>
      <c r="H39" s="2">
        <v>82</v>
      </c>
      <c r="I39" s="2">
        <v>100</v>
      </c>
      <c r="J39" s="3">
        <f t="shared" si="2"/>
        <v>92</v>
      </c>
      <c r="K39" s="3">
        <f t="shared" si="3"/>
        <v>84.5714285714286</v>
      </c>
    </row>
    <row r="40" spans="1:11">
      <c r="A40" t="s">
        <v>89</v>
      </c>
      <c r="B40" t="s">
        <v>90</v>
      </c>
      <c r="C40" t="s">
        <v>82</v>
      </c>
      <c r="D40" s="2">
        <v>100</v>
      </c>
      <c r="E40" s="2">
        <v>100</v>
      </c>
      <c r="F40" s="2">
        <v>100</v>
      </c>
      <c r="G40" s="2">
        <v>100</v>
      </c>
      <c r="H40" s="2">
        <v>100</v>
      </c>
      <c r="I40" s="2">
        <v>100</v>
      </c>
      <c r="J40" s="3">
        <f t="shared" si="2"/>
        <v>100</v>
      </c>
      <c r="K40" s="3">
        <f t="shared" si="3"/>
        <v>100</v>
      </c>
    </row>
    <row r="41" spans="1:11">
      <c r="A41" t="s">
        <v>91</v>
      </c>
      <c r="B41" t="s">
        <v>92</v>
      </c>
      <c r="C41" t="s">
        <v>82</v>
      </c>
      <c r="D41" s="2">
        <v>100</v>
      </c>
      <c r="E41" s="2">
        <v>100</v>
      </c>
      <c r="F41" s="2">
        <v>100</v>
      </c>
      <c r="G41" s="2">
        <v>100</v>
      </c>
      <c r="H41" s="2">
        <v>100</v>
      </c>
      <c r="I41" s="2">
        <v>100</v>
      </c>
      <c r="J41" s="3">
        <f t="shared" si="2"/>
        <v>100</v>
      </c>
      <c r="K41" s="3">
        <f t="shared" si="3"/>
        <v>100</v>
      </c>
    </row>
    <row r="42" spans="1:11">
      <c r="A42" t="s">
        <v>93</v>
      </c>
      <c r="B42" t="s">
        <v>94</v>
      </c>
      <c r="C42" t="s">
        <v>82</v>
      </c>
      <c r="D42" s="2">
        <v>100</v>
      </c>
      <c r="E42" s="2">
        <v>100</v>
      </c>
      <c r="F42" s="2">
        <v>100</v>
      </c>
      <c r="G42" s="2">
        <v>100</v>
      </c>
      <c r="H42" s="2">
        <v>100</v>
      </c>
      <c r="I42" s="2">
        <v>100</v>
      </c>
      <c r="J42" s="3">
        <f t="shared" si="2"/>
        <v>100</v>
      </c>
      <c r="K42" s="3">
        <f t="shared" si="3"/>
        <v>100</v>
      </c>
    </row>
    <row r="43" spans="1:11">
      <c r="A43" t="s">
        <v>95</v>
      </c>
      <c r="B43" t="s">
        <v>96</v>
      </c>
      <c r="C43" t="s">
        <v>82</v>
      </c>
      <c r="D43" s="2">
        <v>100</v>
      </c>
      <c r="E43" s="2">
        <v>100</v>
      </c>
      <c r="F43" s="2">
        <v>100</v>
      </c>
      <c r="G43" s="2">
        <v>100</v>
      </c>
      <c r="H43" s="2">
        <v>100</v>
      </c>
      <c r="I43" s="2">
        <v>100</v>
      </c>
      <c r="J43" s="3">
        <f t="shared" si="2"/>
        <v>100</v>
      </c>
      <c r="K43" s="3">
        <f t="shared" si="3"/>
        <v>100</v>
      </c>
    </row>
    <row r="44" spans="1:11">
      <c r="A44" t="s">
        <v>97</v>
      </c>
      <c r="B44" t="s">
        <v>98</v>
      </c>
      <c r="C44" t="s">
        <v>82</v>
      </c>
      <c r="D44" s="2">
        <v>100</v>
      </c>
      <c r="E44" s="2">
        <v>100</v>
      </c>
      <c r="F44" s="2">
        <v>100</v>
      </c>
      <c r="G44" s="2">
        <v>100</v>
      </c>
      <c r="H44" s="2">
        <v>100</v>
      </c>
      <c r="I44" s="2">
        <v>100</v>
      </c>
      <c r="J44" s="3">
        <f t="shared" si="2"/>
        <v>100</v>
      </c>
      <c r="K44" s="3">
        <f t="shared" si="3"/>
        <v>100</v>
      </c>
    </row>
    <row r="45" spans="1:11">
      <c r="A45" t="s">
        <v>99</v>
      </c>
      <c r="B45" t="s">
        <v>100</v>
      </c>
      <c r="C45" t="s">
        <v>82</v>
      </c>
      <c r="D45" s="2">
        <v>84</v>
      </c>
      <c r="E45" s="2">
        <v>100</v>
      </c>
      <c r="F45" s="2">
        <v>84</v>
      </c>
      <c r="G45" s="2">
        <v>100</v>
      </c>
      <c r="H45" s="2">
        <v>100</v>
      </c>
      <c r="I45" s="2">
        <v>100</v>
      </c>
      <c r="J45" s="3">
        <f t="shared" si="2"/>
        <v>92.5333333333333</v>
      </c>
      <c r="K45" s="3">
        <f t="shared" si="3"/>
        <v>100</v>
      </c>
    </row>
    <row r="46" spans="1:11">
      <c r="A46" t="s">
        <v>101</v>
      </c>
      <c r="B46" t="s">
        <v>102</v>
      </c>
      <c r="C46" t="s">
        <v>82</v>
      </c>
      <c r="D46" s="2">
        <v>84</v>
      </c>
      <c r="E46" s="2">
        <v>100</v>
      </c>
      <c r="F46" s="2">
        <v>100</v>
      </c>
      <c r="G46" s="2">
        <v>100</v>
      </c>
      <c r="H46" s="2">
        <v>100</v>
      </c>
      <c r="I46" s="2">
        <v>80</v>
      </c>
      <c r="J46" s="3">
        <f t="shared" si="2"/>
        <v>96.2666666666667</v>
      </c>
      <c r="K46" s="3">
        <f t="shared" si="3"/>
        <v>97.1428571428571</v>
      </c>
    </row>
    <row r="47" spans="1:11">
      <c r="A47" t="s">
        <v>103</v>
      </c>
      <c r="B47" t="s">
        <v>104</v>
      </c>
      <c r="C47" t="s">
        <v>82</v>
      </c>
      <c r="D47" s="2">
        <v>84</v>
      </c>
      <c r="E47" s="2">
        <v>100</v>
      </c>
      <c r="F47" s="2">
        <v>84</v>
      </c>
      <c r="G47" s="2">
        <v>100</v>
      </c>
      <c r="H47" s="2">
        <v>100</v>
      </c>
      <c r="I47" s="2">
        <v>100</v>
      </c>
      <c r="J47" s="3">
        <f t="shared" si="2"/>
        <v>92.5333333333333</v>
      </c>
      <c r="K47" s="3">
        <f t="shared" si="3"/>
        <v>100</v>
      </c>
    </row>
    <row r="48" spans="1:11">
      <c r="A48" t="s">
        <v>105</v>
      </c>
      <c r="B48" t="s">
        <v>106</v>
      </c>
      <c r="C48" t="s">
        <v>82</v>
      </c>
      <c r="D48" s="2">
        <v>84</v>
      </c>
      <c r="E48" s="2">
        <v>100</v>
      </c>
      <c r="F48" s="2">
        <v>100</v>
      </c>
      <c r="G48" s="2">
        <v>100</v>
      </c>
      <c r="H48" s="2">
        <v>100</v>
      </c>
      <c r="I48" s="2">
        <v>80</v>
      </c>
      <c r="J48" s="3">
        <f t="shared" si="2"/>
        <v>96.2666666666667</v>
      </c>
      <c r="K48" s="3">
        <f t="shared" si="3"/>
        <v>97.1428571428571</v>
      </c>
    </row>
    <row r="49" spans="1:11">
      <c r="A49" t="s">
        <v>107</v>
      </c>
      <c r="B49" t="s">
        <v>108</v>
      </c>
      <c r="C49" t="s">
        <v>82</v>
      </c>
      <c r="D49" s="2">
        <v>84</v>
      </c>
      <c r="E49" s="2">
        <v>100</v>
      </c>
      <c r="F49" s="2">
        <v>100</v>
      </c>
      <c r="G49" s="2">
        <v>100</v>
      </c>
      <c r="H49" s="2">
        <v>100</v>
      </c>
      <c r="I49" s="2">
        <v>80</v>
      </c>
      <c r="J49" s="3">
        <f t="shared" si="2"/>
        <v>96.2666666666667</v>
      </c>
      <c r="K49" s="3">
        <f t="shared" si="3"/>
        <v>97.1428571428571</v>
      </c>
    </row>
    <row r="50" spans="1:11">
      <c r="A50" t="s">
        <v>109</v>
      </c>
      <c r="B50" t="s">
        <v>110</v>
      </c>
      <c r="C50" t="s">
        <v>82</v>
      </c>
      <c r="D50" s="2">
        <v>84</v>
      </c>
      <c r="E50" s="2">
        <v>100</v>
      </c>
      <c r="F50" s="2">
        <v>84</v>
      </c>
      <c r="G50" s="2">
        <v>100</v>
      </c>
      <c r="H50" s="2">
        <v>100</v>
      </c>
      <c r="I50" s="2">
        <v>100</v>
      </c>
      <c r="J50" s="3">
        <f t="shared" si="2"/>
        <v>92.5333333333333</v>
      </c>
      <c r="K50" s="3">
        <f t="shared" si="3"/>
        <v>100</v>
      </c>
    </row>
    <row r="51" spans="1:11">
      <c r="A51" t="s">
        <v>111</v>
      </c>
      <c r="B51" t="s">
        <v>112</v>
      </c>
      <c r="C51" t="s">
        <v>82</v>
      </c>
      <c r="D51" s="2">
        <v>92</v>
      </c>
      <c r="E51" s="2">
        <v>92</v>
      </c>
      <c r="F51" s="2">
        <v>92</v>
      </c>
      <c r="G51" s="2">
        <v>100</v>
      </c>
      <c r="H51" s="2">
        <v>82</v>
      </c>
      <c r="I51" s="2">
        <v>100</v>
      </c>
      <c r="J51" s="3">
        <f t="shared" si="2"/>
        <v>93.8666666666667</v>
      </c>
      <c r="K51" s="3">
        <f t="shared" si="3"/>
        <v>84.5714285714286</v>
      </c>
    </row>
    <row r="52" spans="1:11">
      <c r="A52" t="s">
        <v>113</v>
      </c>
      <c r="B52" t="s">
        <v>114</v>
      </c>
      <c r="C52" t="s">
        <v>82</v>
      </c>
      <c r="D52" s="2">
        <v>92</v>
      </c>
      <c r="E52" s="2">
        <v>92</v>
      </c>
      <c r="F52" s="2">
        <v>92</v>
      </c>
      <c r="G52" s="2">
        <v>100</v>
      </c>
      <c r="H52" s="2">
        <v>82</v>
      </c>
      <c r="I52" s="2">
        <v>100</v>
      </c>
      <c r="J52" s="3">
        <f t="shared" si="2"/>
        <v>93.8666666666667</v>
      </c>
      <c r="K52" s="3">
        <f t="shared" si="3"/>
        <v>84.5714285714286</v>
      </c>
    </row>
    <row r="53" spans="1:11">
      <c r="A53" t="s">
        <v>115</v>
      </c>
      <c r="B53" t="s">
        <v>116</v>
      </c>
      <c r="C53" t="s">
        <v>82</v>
      </c>
      <c r="D53" s="2">
        <v>88</v>
      </c>
      <c r="E53" s="2">
        <v>100</v>
      </c>
      <c r="F53" s="2">
        <v>100</v>
      </c>
      <c r="G53" s="2">
        <v>100</v>
      </c>
      <c r="H53" s="2">
        <v>82</v>
      </c>
      <c r="I53" s="2">
        <v>100</v>
      </c>
      <c r="J53" s="3">
        <f t="shared" si="2"/>
        <v>97.2</v>
      </c>
      <c r="K53" s="3">
        <f t="shared" si="3"/>
        <v>84.5714285714286</v>
      </c>
    </row>
    <row r="54" spans="1:11">
      <c r="A54" t="s">
        <v>117</v>
      </c>
      <c r="B54" t="s">
        <v>118</v>
      </c>
      <c r="C54" t="s">
        <v>82</v>
      </c>
      <c r="D54" s="2">
        <v>88</v>
      </c>
      <c r="E54" s="2">
        <v>100</v>
      </c>
      <c r="F54" s="2">
        <v>100</v>
      </c>
      <c r="G54" s="2">
        <v>100</v>
      </c>
      <c r="H54" s="2">
        <v>82</v>
      </c>
      <c r="I54" s="2">
        <v>100</v>
      </c>
      <c r="J54" s="3">
        <f t="shared" si="2"/>
        <v>97.2</v>
      </c>
      <c r="K54" s="3">
        <f t="shared" si="3"/>
        <v>84.5714285714286</v>
      </c>
    </row>
    <row r="55" spans="1:11">
      <c r="A55" t="s">
        <v>119</v>
      </c>
      <c r="B55" t="s">
        <v>120</v>
      </c>
      <c r="C55" t="s">
        <v>82</v>
      </c>
      <c r="D55" s="2">
        <v>92</v>
      </c>
      <c r="E55" s="2">
        <v>92</v>
      </c>
      <c r="F55" s="2">
        <v>92</v>
      </c>
      <c r="G55" s="2">
        <v>100</v>
      </c>
      <c r="H55" s="2">
        <v>82</v>
      </c>
      <c r="I55" s="2">
        <v>100</v>
      </c>
      <c r="J55" s="3">
        <f t="shared" si="2"/>
        <v>93.8666666666667</v>
      </c>
      <c r="K55" s="3">
        <f t="shared" si="3"/>
        <v>84.5714285714286</v>
      </c>
    </row>
    <row r="56" spans="1:11">
      <c r="A56" t="s">
        <v>121</v>
      </c>
      <c r="B56" t="s">
        <v>122</v>
      </c>
      <c r="C56" t="s">
        <v>82</v>
      </c>
      <c r="D56" s="2">
        <v>88</v>
      </c>
      <c r="E56" s="2">
        <v>100</v>
      </c>
      <c r="F56" s="2">
        <v>100</v>
      </c>
      <c r="G56" s="2">
        <v>100</v>
      </c>
      <c r="H56" s="2">
        <v>82</v>
      </c>
      <c r="I56" s="2">
        <v>100</v>
      </c>
      <c r="J56" s="3">
        <f t="shared" si="2"/>
        <v>97.2</v>
      </c>
      <c r="K56" s="3">
        <f t="shared" si="3"/>
        <v>84.5714285714286</v>
      </c>
    </row>
    <row r="57" spans="1:11">
      <c r="A57" t="s">
        <v>123</v>
      </c>
      <c r="B57" t="s">
        <v>124</v>
      </c>
      <c r="C57" t="s">
        <v>82</v>
      </c>
      <c r="D57" s="2">
        <v>84</v>
      </c>
      <c r="E57" s="2">
        <v>100</v>
      </c>
      <c r="F57" s="2">
        <v>100</v>
      </c>
      <c r="G57" s="2">
        <v>100</v>
      </c>
      <c r="H57" s="2">
        <v>100</v>
      </c>
      <c r="I57" s="2">
        <v>100</v>
      </c>
      <c r="J57" s="3">
        <f t="shared" si="2"/>
        <v>96.2666666666667</v>
      </c>
      <c r="K57" s="3">
        <f t="shared" si="3"/>
        <v>100</v>
      </c>
    </row>
    <row r="58" spans="1:11">
      <c r="A58" t="s">
        <v>125</v>
      </c>
      <c r="B58" t="s">
        <v>126</v>
      </c>
      <c r="C58" t="s">
        <v>82</v>
      </c>
      <c r="D58" s="2">
        <v>84</v>
      </c>
      <c r="E58" s="2">
        <v>100</v>
      </c>
      <c r="F58" s="2">
        <v>100</v>
      </c>
      <c r="G58" s="2">
        <v>100</v>
      </c>
      <c r="H58" s="2">
        <v>100</v>
      </c>
      <c r="I58" s="2">
        <v>100</v>
      </c>
      <c r="J58" s="3">
        <f t="shared" si="2"/>
        <v>96.2666666666667</v>
      </c>
      <c r="K58" s="3">
        <f t="shared" si="3"/>
        <v>100</v>
      </c>
    </row>
    <row r="59" spans="1:11">
      <c r="A59" t="s">
        <v>127</v>
      </c>
      <c r="B59" t="s">
        <v>128</v>
      </c>
      <c r="C59" t="s">
        <v>82</v>
      </c>
      <c r="D59" s="2">
        <v>84</v>
      </c>
      <c r="E59" s="2">
        <v>100</v>
      </c>
      <c r="F59" s="2">
        <v>100</v>
      </c>
      <c r="G59" s="2">
        <v>100</v>
      </c>
      <c r="H59" s="2">
        <v>100</v>
      </c>
      <c r="I59" s="2">
        <v>100</v>
      </c>
      <c r="J59" s="3">
        <f t="shared" si="2"/>
        <v>96.2666666666667</v>
      </c>
      <c r="K59" s="3">
        <f t="shared" si="3"/>
        <v>100</v>
      </c>
    </row>
    <row r="60" spans="1:11">
      <c r="A60" t="s">
        <v>129</v>
      </c>
      <c r="B60" t="s">
        <v>130</v>
      </c>
      <c r="C60" t="s">
        <v>82</v>
      </c>
      <c r="D60" s="2">
        <v>84</v>
      </c>
      <c r="E60" s="2">
        <v>100</v>
      </c>
      <c r="F60" s="2">
        <v>100</v>
      </c>
      <c r="G60" s="2">
        <v>100</v>
      </c>
      <c r="H60" s="2">
        <v>100</v>
      </c>
      <c r="I60" s="2">
        <v>100</v>
      </c>
      <c r="J60" s="3">
        <f t="shared" si="2"/>
        <v>96.2666666666667</v>
      </c>
      <c r="K60" s="3">
        <f t="shared" si="3"/>
        <v>100</v>
      </c>
    </row>
    <row r="61" spans="1:11">
      <c r="A61" t="s">
        <v>131</v>
      </c>
      <c r="B61" t="s">
        <v>132</v>
      </c>
      <c r="C61" t="s">
        <v>82</v>
      </c>
      <c r="D61" s="2">
        <v>84</v>
      </c>
      <c r="E61" s="2">
        <v>100</v>
      </c>
      <c r="F61" s="2">
        <v>100</v>
      </c>
      <c r="G61" s="2">
        <v>100</v>
      </c>
      <c r="H61" s="2">
        <v>100</v>
      </c>
      <c r="I61" s="2">
        <v>100</v>
      </c>
      <c r="J61" s="3">
        <f t="shared" si="2"/>
        <v>96.2666666666667</v>
      </c>
      <c r="K61" s="3">
        <f t="shared" si="3"/>
        <v>100</v>
      </c>
    </row>
    <row r="62" spans="1:11">
      <c r="A62" t="s">
        <v>133</v>
      </c>
      <c r="B62" t="s">
        <v>134</v>
      </c>
      <c r="C62" t="s">
        <v>82</v>
      </c>
      <c r="D62" s="2">
        <v>84</v>
      </c>
      <c r="E62" s="2">
        <v>100</v>
      </c>
      <c r="F62" s="2">
        <v>100</v>
      </c>
      <c r="G62" s="2">
        <v>100</v>
      </c>
      <c r="H62" s="2">
        <v>100</v>
      </c>
      <c r="I62" s="2">
        <v>100</v>
      </c>
      <c r="J62" s="3">
        <f t="shared" si="2"/>
        <v>96.2666666666667</v>
      </c>
      <c r="K62" s="3">
        <f t="shared" si="3"/>
        <v>100</v>
      </c>
    </row>
    <row r="63" spans="1:11">
      <c r="A63" t="s">
        <v>135</v>
      </c>
      <c r="B63" t="s">
        <v>136</v>
      </c>
      <c r="C63" t="s">
        <v>82</v>
      </c>
      <c r="D63" s="2">
        <v>84</v>
      </c>
      <c r="E63" s="2">
        <v>100</v>
      </c>
      <c r="F63" s="2">
        <v>100</v>
      </c>
      <c r="G63" s="2">
        <v>100</v>
      </c>
      <c r="H63" s="2">
        <v>100</v>
      </c>
      <c r="I63" s="2">
        <v>100</v>
      </c>
      <c r="J63" s="3">
        <f t="shared" si="2"/>
        <v>96.2666666666667</v>
      </c>
      <c r="K63" s="3">
        <f t="shared" si="3"/>
        <v>100</v>
      </c>
    </row>
    <row r="64" spans="1:11">
      <c r="A64" t="s">
        <v>137</v>
      </c>
      <c r="B64" t="s">
        <v>138</v>
      </c>
      <c r="C64" t="s">
        <v>82</v>
      </c>
      <c r="D64" s="2">
        <v>84</v>
      </c>
      <c r="E64" s="2">
        <v>100</v>
      </c>
      <c r="F64" s="2">
        <v>100</v>
      </c>
      <c r="G64" s="2">
        <v>100</v>
      </c>
      <c r="H64" s="2">
        <v>100</v>
      </c>
      <c r="I64" s="2">
        <v>100</v>
      </c>
      <c r="J64" s="3">
        <f t="shared" si="2"/>
        <v>96.2666666666667</v>
      </c>
      <c r="K64" s="3">
        <f t="shared" si="3"/>
        <v>100</v>
      </c>
    </row>
    <row r="65" spans="1:11">
      <c r="A65" t="s">
        <v>139</v>
      </c>
      <c r="B65" t="s">
        <v>140</v>
      </c>
      <c r="C65" t="s">
        <v>82</v>
      </c>
      <c r="D65" s="2">
        <v>84</v>
      </c>
      <c r="E65" s="2">
        <v>100</v>
      </c>
      <c r="F65" s="2">
        <v>100</v>
      </c>
      <c r="G65" s="2">
        <v>100</v>
      </c>
      <c r="H65" s="2">
        <v>100</v>
      </c>
      <c r="I65" s="2">
        <v>100</v>
      </c>
      <c r="J65" s="3">
        <f t="shared" si="2"/>
        <v>96.2666666666667</v>
      </c>
      <c r="K65" s="3">
        <f t="shared" si="3"/>
        <v>100</v>
      </c>
    </row>
    <row r="66" spans="1:11">
      <c r="A66" t="s">
        <v>141</v>
      </c>
      <c r="B66" t="s">
        <v>142</v>
      </c>
      <c r="C66" t="s">
        <v>143</v>
      </c>
      <c r="D66" s="2">
        <v>92</v>
      </c>
      <c r="E66" s="2">
        <v>100</v>
      </c>
      <c r="F66" s="2">
        <v>84</v>
      </c>
      <c r="G66" s="2">
        <v>100</v>
      </c>
      <c r="H66" s="2">
        <v>84</v>
      </c>
      <c r="I66" s="2">
        <v>100</v>
      </c>
      <c r="J66" s="3">
        <f t="shared" si="2"/>
        <v>94.4</v>
      </c>
      <c r="K66" s="3">
        <f t="shared" si="3"/>
        <v>86.2857142857143</v>
      </c>
    </row>
    <row r="67" spans="1:11">
      <c r="A67" t="s">
        <v>144</v>
      </c>
      <c r="B67" t="s">
        <v>145</v>
      </c>
      <c r="C67" t="s">
        <v>143</v>
      </c>
      <c r="D67" s="2">
        <v>92</v>
      </c>
      <c r="E67" s="2">
        <v>100</v>
      </c>
      <c r="F67" s="2">
        <v>100</v>
      </c>
      <c r="G67" s="2">
        <v>100</v>
      </c>
      <c r="H67" s="2">
        <v>100</v>
      </c>
      <c r="I67" s="2">
        <v>100</v>
      </c>
      <c r="J67" s="3">
        <f t="shared" ref="J67:J98" si="4">(D67*7/100+E67*9/100+F67*7/100+G67*7/100)/30*100</f>
        <v>98.1333333333333</v>
      </c>
      <c r="K67" s="3">
        <f t="shared" ref="K67:K98" si="5">(H67*60/100+I67*10/100)/70*100</f>
        <v>100</v>
      </c>
    </row>
    <row r="68" spans="1:11">
      <c r="A68" t="s">
        <v>146</v>
      </c>
      <c r="B68" t="s">
        <v>147</v>
      </c>
      <c r="C68" t="s">
        <v>143</v>
      </c>
      <c r="D68" s="2">
        <v>80</v>
      </c>
      <c r="E68" s="2">
        <v>100</v>
      </c>
      <c r="F68" s="2">
        <v>92</v>
      </c>
      <c r="G68" s="2">
        <v>100</v>
      </c>
      <c r="H68" s="2">
        <v>84</v>
      </c>
      <c r="I68" s="2">
        <v>100</v>
      </c>
      <c r="J68" s="3">
        <f t="shared" si="4"/>
        <v>93.4666666666667</v>
      </c>
      <c r="K68" s="3">
        <f t="shared" si="5"/>
        <v>86.2857142857143</v>
      </c>
    </row>
    <row r="69" spans="1:11">
      <c r="A69" t="s">
        <v>148</v>
      </c>
      <c r="B69" t="s">
        <v>149</v>
      </c>
      <c r="C69" t="s">
        <v>143</v>
      </c>
      <c r="D69" s="2">
        <v>80</v>
      </c>
      <c r="E69" s="2">
        <v>100</v>
      </c>
      <c r="F69" s="2">
        <v>92</v>
      </c>
      <c r="G69" s="2">
        <v>100</v>
      </c>
      <c r="H69" s="2">
        <v>84</v>
      </c>
      <c r="I69" s="2">
        <v>100</v>
      </c>
      <c r="J69" s="3">
        <f t="shared" si="4"/>
        <v>93.4666666666667</v>
      </c>
      <c r="K69" s="3">
        <f t="shared" si="5"/>
        <v>86.2857142857143</v>
      </c>
    </row>
    <row r="70" spans="1:11">
      <c r="A70" t="s">
        <v>150</v>
      </c>
      <c r="B70" t="s">
        <v>151</v>
      </c>
      <c r="C70" t="s">
        <v>143</v>
      </c>
      <c r="D70" s="2">
        <v>92</v>
      </c>
      <c r="E70" s="2">
        <v>100</v>
      </c>
      <c r="F70" s="2">
        <v>84</v>
      </c>
      <c r="G70" s="2">
        <v>100</v>
      </c>
      <c r="H70" s="2">
        <v>84</v>
      </c>
      <c r="I70" s="2">
        <v>100</v>
      </c>
      <c r="J70" s="3">
        <f t="shared" si="4"/>
        <v>94.4</v>
      </c>
      <c r="K70" s="3">
        <f t="shared" si="5"/>
        <v>86.2857142857143</v>
      </c>
    </row>
    <row r="71" spans="1:11">
      <c r="A71" t="s">
        <v>152</v>
      </c>
      <c r="B71" t="s">
        <v>153</v>
      </c>
      <c r="C71" t="s">
        <v>143</v>
      </c>
      <c r="D71" s="2">
        <v>92</v>
      </c>
      <c r="E71" s="2">
        <v>100</v>
      </c>
      <c r="F71" s="2">
        <v>92</v>
      </c>
      <c r="G71" s="2">
        <v>100</v>
      </c>
      <c r="H71" s="2">
        <v>80</v>
      </c>
      <c r="I71" s="2">
        <v>80</v>
      </c>
      <c r="J71" s="3">
        <f t="shared" si="4"/>
        <v>96.2666666666667</v>
      </c>
      <c r="K71" s="3">
        <f t="shared" si="5"/>
        <v>80</v>
      </c>
    </row>
    <row r="72" spans="1:11">
      <c r="A72" t="s">
        <v>154</v>
      </c>
      <c r="B72" t="s">
        <v>155</v>
      </c>
      <c r="C72" t="s">
        <v>143</v>
      </c>
      <c r="D72" s="2">
        <v>92</v>
      </c>
      <c r="E72" s="2">
        <v>100</v>
      </c>
      <c r="F72" s="2">
        <v>92</v>
      </c>
      <c r="G72" s="2">
        <v>100</v>
      </c>
      <c r="H72" s="2">
        <v>80</v>
      </c>
      <c r="I72" s="2">
        <v>80</v>
      </c>
      <c r="J72" s="3">
        <f t="shared" si="4"/>
        <v>96.2666666666667</v>
      </c>
      <c r="K72" s="3">
        <f t="shared" si="5"/>
        <v>80</v>
      </c>
    </row>
    <row r="73" spans="1:11">
      <c r="A73">
        <v>22408010308</v>
      </c>
      <c r="B73" t="s">
        <v>156</v>
      </c>
      <c r="C73" t="s">
        <v>143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3">
        <f t="shared" si="4"/>
        <v>0</v>
      </c>
      <c r="K73" s="3">
        <f t="shared" si="5"/>
        <v>0</v>
      </c>
    </row>
    <row r="74" spans="1:11">
      <c r="A74" t="s">
        <v>157</v>
      </c>
      <c r="B74" t="s">
        <v>158</v>
      </c>
      <c r="C74" t="s">
        <v>143</v>
      </c>
      <c r="D74" s="2">
        <v>92</v>
      </c>
      <c r="E74" s="2">
        <v>100</v>
      </c>
      <c r="F74" s="2">
        <v>84</v>
      </c>
      <c r="G74" s="2">
        <v>100</v>
      </c>
      <c r="H74" s="2">
        <v>84</v>
      </c>
      <c r="I74" s="2">
        <v>100</v>
      </c>
      <c r="J74" s="3">
        <f t="shared" si="4"/>
        <v>94.4</v>
      </c>
      <c r="K74" s="3">
        <f t="shared" si="5"/>
        <v>86.2857142857143</v>
      </c>
    </row>
    <row r="75" spans="1:11">
      <c r="A75" t="s">
        <v>159</v>
      </c>
      <c r="B75" t="s">
        <v>160</v>
      </c>
      <c r="C75" t="s">
        <v>143</v>
      </c>
      <c r="D75" s="2">
        <v>92</v>
      </c>
      <c r="E75" s="2">
        <v>100</v>
      </c>
      <c r="F75" s="2">
        <v>84</v>
      </c>
      <c r="G75" s="2">
        <v>100</v>
      </c>
      <c r="H75" s="2">
        <v>84</v>
      </c>
      <c r="I75" s="2">
        <v>100</v>
      </c>
      <c r="J75" s="3">
        <f t="shared" si="4"/>
        <v>94.4</v>
      </c>
      <c r="K75" s="3">
        <f t="shared" si="5"/>
        <v>86.2857142857143</v>
      </c>
    </row>
    <row r="76" spans="1:11">
      <c r="A76" t="s">
        <v>161</v>
      </c>
      <c r="B76" t="s">
        <v>162</v>
      </c>
      <c r="C76" t="s">
        <v>143</v>
      </c>
      <c r="D76" s="2">
        <v>92</v>
      </c>
      <c r="E76" s="2">
        <v>100</v>
      </c>
      <c r="F76" s="2">
        <v>84</v>
      </c>
      <c r="G76" s="2">
        <v>100</v>
      </c>
      <c r="H76" s="2">
        <v>84</v>
      </c>
      <c r="I76" s="2">
        <v>80</v>
      </c>
      <c r="J76" s="3">
        <f t="shared" si="4"/>
        <v>94.4</v>
      </c>
      <c r="K76" s="3">
        <f t="shared" si="5"/>
        <v>83.4285714285714</v>
      </c>
    </row>
    <row r="77" spans="1:11">
      <c r="A77" t="s">
        <v>163</v>
      </c>
      <c r="B77" t="s">
        <v>164</v>
      </c>
      <c r="C77" t="s">
        <v>143</v>
      </c>
      <c r="D77" s="2">
        <v>92</v>
      </c>
      <c r="E77" s="2">
        <v>100</v>
      </c>
      <c r="F77" s="2">
        <v>92</v>
      </c>
      <c r="G77" s="2">
        <v>100</v>
      </c>
      <c r="H77" s="2">
        <v>80</v>
      </c>
      <c r="I77" s="2">
        <v>80</v>
      </c>
      <c r="J77" s="3">
        <f t="shared" si="4"/>
        <v>96.2666666666667</v>
      </c>
      <c r="K77" s="3">
        <f t="shared" si="5"/>
        <v>80</v>
      </c>
    </row>
    <row r="78" spans="1:11">
      <c r="A78" t="s">
        <v>165</v>
      </c>
      <c r="B78" t="s">
        <v>166</v>
      </c>
      <c r="C78" t="s">
        <v>143</v>
      </c>
      <c r="D78" s="2">
        <v>80</v>
      </c>
      <c r="E78" s="2">
        <v>100</v>
      </c>
      <c r="F78" s="2">
        <v>92</v>
      </c>
      <c r="G78" s="2">
        <v>100</v>
      </c>
      <c r="H78" s="2">
        <v>84</v>
      </c>
      <c r="I78" s="2">
        <v>100</v>
      </c>
      <c r="J78" s="3">
        <f t="shared" si="4"/>
        <v>93.4666666666667</v>
      </c>
      <c r="K78" s="3">
        <f t="shared" si="5"/>
        <v>86.2857142857143</v>
      </c>
    </row>
    <row r="79" spans="1:11">
      <c r="A79" t="s">
        <v>167</v>
      </c>
      <c r="B79" t="s">
        <v>168</v>
      </c>
      <c r="C79" t="s">
        <v>143</v>
      </c>
      <c r="D79" s="2">
        <v>80</v>
      </c>
      <c r="E79" s="2">
        <v>100</v>
      </c>
      <c r="F79" s="2">
        <v>92</v>
      </c>
      <c r="G79" s="2">
        <v>100</v>
      </c>
      <c r="H79" s="2">
        <v>84</v>
      </c>
      <c r="I79" s="2">
        <v>100</v>
      </c>
      <c r="J79" s="3">
        <f t="shared" si="4"/>
        <v>93.4666666666667</v>
      </c>
      <c r="K79" s="3">
        <f t="shared" si="5"/>
        <v>86.2857142857143</v>
      </c>
    </row>
    <row r="80" spans="1:11">
      <c r="A80" t="s">
        <v>169</v>
      </c>
      <c r="B80" t="s">
        <v>170</v>
      </c>
      <c r="C80" t="s">
        <v>143</v>
      </c>
      <c r="D80" s="2">
        <v>92</v>
      </c>
      <c r="E80" s="2">
        <v>100</v>
      </c>
      <c r="F80" s="2">
        <v>92</v>
      </c>
      <c r="G80" s="2">
        <v>100</v>
      </c>
      <c r="H80" s="2">
        <v>80</v>
      </c>
      <c r="I80" s="2">
        <v>80</v>
      </c>
      <c r="J80" s="3">
        <f t="shared" si="4"/>
        <v>96.2666666666667</v>
      </c>
      <c r="K80" s="3">
        <f t="shared" si="5"/>
        <v>80</v>
      </c>
    </row>
    <row r="81" spans="1:11">
      <c r="A81" t="s">
        <v>171</v>
      </c>
      <c r="B81" t="s">
        <v>172</v>
      </c>
      <c r="C81" t="s">
        <v>143</v>
      </c>
      <c r="D81" s="2">
        <v>92</v>
      </c>
      <c r="E81" s="2">
        <v>100</v>
      </c>
      <c r="F81" s="2">
        <v>100</v>
      </c>
      <c r="G81" s="2">
        <v>100</v>
      </c>
      <c r="H81" s="2">
        <v>100</v>
      </c>
      <c r="I81" s="2">
        <v>100</v>
      </c>
      <c r="J81" s="3">
        <f t="shared" si="4"/>
        <v>98.1333333333333</v>
      </c>
      <c r="K81" s="3">
        <f t="shared" si="5"/>
        <v>100</v>
      </c>
    </row>
    <row r="82" spans="1:11">
      <c r="A82" t="s">
        <v>173</v>
      </c>
      <c r="B82" t="s">
        <v>174</v>
      </c>
      <c r="C82" t="s">
        <v>143</v>
      </c>
      <c r="D82" s="2">
        <v>80</v>
      </c>
      <c r="E82" s="2">
        <v>80</v>
      </c>
      <c r="F82" s="2">
        <v>84</v>
      </c>
      <c r="G82" s="2">
        <v>100</v>
      </c>
      <c r="H82" s="2">
        <v>80</v>
      </c>
      <c r="I82" s="2">
        <v>100</v>
      </c>
      <c r="J82" s="3">
        <f t="shared" si="4"/>
        <v>85.6</v>
      </c>
      <c r="K82" s="3">
        <f t="shared" si="5"/>
        <v>82.8571428571429</v>
      </c>
    </row>
    <row r="83" spans="1:11">
      <c r="A83" t="s">
        <v>175</v>
      </c>
      <c r="B83" t="s">
        <v>176</v>
      </c>
      <c r="C83" t="s">
        <v>143</v>
      </c>
      <c r="D83" s="2">
        <v>92</v>
      </c>
      <c r="E83" s="2">
        <v>100</v>
      </c>
      <c r="F83" s="2">
        <v>100</v>
      </c>
      <c r="G83" s="2">
        <v>100</v>
      </c>
      <c r="H83" s="2">
        <v>82</v>
      </c>
      <c r="I83" s="2">
        <v>80</v>
      </c>
      <c r="J83" s="3">
        <f t="shared" si="4"/>
        <v>98.1333333333333</v>
      </c>
      <c r="K83" s="3">
        <f t="shared" si="5"/>
        <v>81.7142857142857</v>
      </c>
    </row>
    <row r="84" spans="1:11">
      <c r="A84" t="s">
        <v>177</v>
      </c>
      <c r="B84" t="s">
        <v>178</v>
      </c>
      <c r="C84" t="s">
        <v>143</v>
      </c>
      <c r="D84" s="2">
        <v>92</v>
      </c>
      <c r="E84" s="2">
        <v>100</v>
      </c>
      <c r="F84" s="2">
        <v>100</v>
      </c>
      <c r="G84" s="2">
        <v>100</v>
      </c>
      <c r="H84" s="2">
        <v>100</v>
      </c>
      <c r="I84" s="2">
        <v>100</v>
      </c>
      <c r="J84" s="3">
        <f t="shared" si="4"/>
        <v>98.1333333333333</v>
      </c>
      <c r="K84" s="3">
        <f t="shared" si="5"/>
        <v>100</v>
      </c>
    </row>
    <row r="85" spans="1:11">
      <c r="A85" t="s">
        <v>179</v>
      </c>
      <c r="B85" t="s">
        <v>180</v>
      </c>
      <c r="C85" t="s">
        <v>143</v>
      </c>
      <c r="D85" s="2">
        <v>92</v>
      </c>
      <c r="E85" s="2">
        <v>100</v>
      </c>
      <c r="F85" s="2">
        <v>84</v>
      </c>
      <c r="G85" s="2">
        <v>100</v>
      </c>
      <c r="H85" s="2">
        <v>84</v>
      </c>
      <c r="I85" s="2">
        <v>80</v>
      </c>
      <c r="J85" s="3">
        <f t="shared" si="4"/>
        <v>94.4</v>
      </c>
      <c r="K85" s="3">
        <f t="shared" si="5"/>
        <v>83.4285714285714</v>
      </c>
    </row>
    <row r="86" spans="1:11">
      <c r="A86" t="s">
        <v>181</v>
      </c>
      <c r="B86" t="s">
        <v>182</v>
      </c>
      <c r="C86" t="s">
        <v>143</v>
      </c>
      <c r="D86" s="2">
        <v>92</v>
      </c>
      <c r="E86" s="2">
        <v>100</v>
      </c>
      <c r="F86" s="2">
        <v>100</v>
      </c>
      <c r="G86" s="2">
        <v>100</v>
      </c>
      <c r="H86" s="2">
        <v>82</v>
      </c>
      <c r="I86" s="2">
        <v>80</v>
      </c>
      <c r="J86" s="3">
        <f t="shared" si="4"/>
        <v>98.1333333333333</v>
      </c>
      <c r="K86" s="3">
        <f t="shared" si="5"/>
        <v>81.7142857142857</v>
      </c>
    </row>
    <row r="87" spans="1:11">
      <c r="A87" t="s">
        <v>183</v>
      </c>
      <c r="B87" t="s">
        <v>184</v>
      </c>
      <c r="C87" t="s">
        <v>143</v>
      </c>
      <c r="D87" s="2">
        <v>92</v>
      </c>
      <c r="E87" s="2">
        <v>100</v>
      </c>
      <c r="F87" s="2">
        <v>84</v>
      </c>
      <c r="G87" s="2">
        <v>100</v>
      </c>
      <c r="H87" s="2">
        <v>84</v>
      </c>
      <c r="I87" s="2">
        <v>80</v>
      </c>
      <c r="J87" s="3">
        <f t="shared" si="4"/>
        <v>94.4</v>
      </c>
      <c r="K87" s="3">
        <f t="shared" si="5"/>
        <v>83.4285714285714</v>
      </c>
    </row>
    <row r="88" spans="1:11">
      <c r="A88" t="s">
        <v>185</v>
      </c>
      <c r="B88" t="s">
        <v>186</v>
      </c>
      <c r="C88" t="s">
        <v>143</v>
      </c>
      <c r="D88" s="2">
        <v>92</v>
      </c>
      <c r="E88" s="2">
        <v>100</v>
      </c>
      <c r="F88" s="2">
        <v>84</v>
      </c>
      <c r="G88" s="2">
        <v>100</v>
      </c>
      <c r="H88" s="2">
        <v>84</v>
      </c>
      <c r="I88" s="2">
        <v>80</v>
      </c>
      <c r="J88" s="3">
        <f t="shared" si="4"/>
        <v>94.4</v>
      </c>
      <c r="K88" s="3">
        <f t="shared" si="5"/>
        <v>83.4285714285714</v>
      </c>
    </row>
    <row r="89" spans="1:11">
      <c r="A89" t="s">
        <v>187</v>
      </c>
      <c r="B89" t="s">
        <v>188</v>
      </c>
      <c r="C89" t="s">
        <v>143</v>
      </c>
      <c r="D89" s="2">
        <v>92</v>
      </c>
      <c r="E89" s="2">
        <v>100</v>
      </c>
      <c r="F89" s="2">
        <v>84</v>
      </c>
      <c r="G89" s="2">
        <v>100</v>
      </c>
      <c r="H89" s="2">
        <v>84</v>
      </c>
      <c r="I89" s="2">
        <v>80</v>
      </c>
      <c r="J89" s="3">
        <f t="shared" si="4"/>
        <v>94.4</v>
      </c>
      <c r="K89" s="3">
        <f t="shared" si="5"/>
        <v>83.4285714285714</v>
      </c>
    </row>
    <row r="90" spans="1:11">
      <c r="A90" t="s">
        <v>189</v>
      </c>
      <c r="B90" t="s">
        <v>190</v>
      </c>
      <c r="C90" t="s">
        <v>143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3">
        <f t="shared" si="4"/>
        <v>0</v>
      </c>
      <c r="K90" s="3">
        <f t="shared" si="5"/>
        <v>0</v>
      </c>
    </row>
    <row r="91" spans="1:11">
      <c r="A91" t="s">
        <v>191</v>
      </c>
      <c r="B91" t="s">
        <v>192</v>
      </c>
      <c r="C91" t="s">
        <v>143</v>
      </c>
      <c r="D91" s="2">
        <v>92</v>
      </c>
      <c r="E91" s="2">
        <v>100</v>
      </c>
      <c r="F91" s="2">
        <v>100</v>
      </c>
      <c r="G91" s="2">
        <v>84</v>
      </c>
      <c r="H91" s="2">
        <v>100</v>
      </c>
      <c r="I91" s="2">
        <v>100</v>
      </c>
      <c r="J91" s="3">
        <f t="shared" si="4"/>
        <v>94.4</v>
      </c>
      <c r="K91" s="3">
        <f t="shared" si="5"/>
        <v>100</v>
      </c>
    </row>
    <row r="92" spans="1:11">
      <c r="A92" t="s">
        <v>193</v>
      </c>
      <c r="B92" t="s">
        <v>194</v>
      </c>
      <c r="C92" t="s">
        <v>143</v>
      </c>
      <c r="D92" s="2">
        <v>92</v>
      </c>
      <c r="E92" s="2">
        <v>100</v>
      </c>
      <c r="F92" s="2">
        <v>100</v>
      </c>
      <c r="G92" s="2">
        <v>84</v>
      </c>
      <c r="H92" s="2">
        <v>100</v>
      </c>
      <c r="I92" s="2">
        <v>100</v>
      </c>
      <c r="J92" s="3">
        <f t="shared" si="4"/>
        <v>94.4</v>
      </c>
      <c r="K92" s="3">
        <f t="shared" si="5"/>
        <v>100</v>
      </c>
    </row>
    <row r="93" spans="1:11">
      <c r="A93" t="s">
        <v>195</v>
      </c>
      <c r="B93" t="s">
        <v>196</v>
      </c>
      <c r="C93" t="s">
        <v>143</v>
      </c>
      <c r="D93" s="2">
        <v>92</v>
      </c>
      <c r="E93" s="2">
        <v>100</v>
      </c>
      <c r="F93" s="2">
        <v>100</v>
      </c>
      <c r="G93" s="2">
        <v>84</v>
      </c>
      <c r="H93" s="2">
        <v>100</v>
      </c>
      <c r="I93" s="2">
        <v>100</v>
      </c>
      <c r="J93" s="3">
        <f t="shared" si="4"/>
        <v>94.4</v>
      </c>
      <c r="K93" s="3">
        <f t="shared" si="5"/>
        <v>100</v>
      </c>
    </row>
    <row r="94" spans="1:11">
      <c r="A94" t="s">
        <v>197</v>
      </c>
      <c r="B94" t="s">
        <v>198</v>
      </c>
      <c r="C94" t="s">
        <v>143</v>
      </c>
      <c r="D94" s="2">
        <v>92</v>
      </c>
      <c r="E94" s="2">
        <v>100</v>
      </c>
      <c r="F94" s="2">
        <v>100</v>
      </c>
      <c r="G94" s="2">
        <v>84</v>
      </c>
      <c r="H94" s="2">
        <v>100</v>
      </c>
      <c r="I94" s="2">
        <v>100</v>
      </c>
      <c r="J94" s="3">
        <f t="shared" si="4"/>
        <v>94.4</v>
      </c>
      <c r="K94" s="3">
        <f t="shared" si="5"/>
        <v>100</v>
      </c>
    </row>
    <row r="95" spans="1:11">
      <c r="A95" t="s">
        <v>199</v>
      </c>
      <c r="B95" t="s">
        <v>200</v>
      </c>
      <c r="C95" t="s">
        <v>143</v>
      </c>
      <c r="D95" s="2">
        <v>92</v>
      </c>
      <c r="E95" s="2">
        <v>100</v>
      </c>
      <c r="F95" s="2">
        <v>100</v>
      </c>
      <c r="G95" s="2">
        <v>100</v>
      </c>
      <c r="H95" s="2">
        <v>100</v>
      </c>
      <c r="I95" s="2">
        <v>100</v>
      </c>
      <c r="J95" s="3">
        <f t="shared" si="4"/>
        <v>98.1333333333333</v>
      </c>
      <c r="K95" s="3">
        <f t="shared" si="5"/>
        <v>100</v>
      </c>
    </row>
    <row r="96" spans="1:11">
      <c r="A96" t="s">
        <v>201</v>
      </c>
      <c r="B96" t="s">
        <v>202</v>
      </c>
      <c r="C96" t="s">
        <v>143</v>
      </c>
      <c r="D96" s="2">
        <v>92</v>
      </c>
      <c r="E96" s="2">
        <v>100</v>
      </c>
      <c r="F96" s="2">
        <v>100</v>
      </c>
      <c r="G96" s="2">
        <v>84</v>
      </c>
      <c r="H96" s="2">
        <v>100</v>
      </c>
      <c r="I96" s="2">
        <v>100</v>
      </c>
      <c r="J96" s="3">
        <f t="shared" si="4"/>
        <v>94.4</v>
      </c>
      <c r="K96" s="3">
        <f t="shared" si="5"/>
        <v>100</v>
      </c>
    </row>
    <row r="97" spans="1:11">
      <c r="A97" t="s">
        <v>203</v>
      </c>
      <c r="B97" t="s">
        <v>204</v>
      </c>
      <c r="C97" t="s">
        <v>143</v>
      </c>
      <c r="D97" s="2">
        <v>92</v>
      </c>
      <c r="E97" s="2">
        <v>100</v>
      </c>
      <c r="F97" s="2">
        <v>84</v>
      </c>
      <c r="G97" s="2">
        <v>100</v>
      </c>
      <c r="H97" s="2">
        <v>84</v>
      </c>
      <c r="I97" s="2">
        <v>100</v>
      </c>
      <c r="J97" s="3">
        <f t="shared" si="4"/>
        <v>94.4</v>
      </c>
      <c r="K97" s="3">
        <f t="shared" si="5"/>
        <v>86.2857142857143</v>
      </c>
    </row>
    <row r="98" spans="1:11">
      <c r="A98" t="s">
        <v>205</v>
      </c>
      <c r="B98" t="s">
        <v>206</v>
      </c>
      <c r="C98" t="s">
        <v>207</v>
      </c>
      <c r="D98" s="2">
        <v>84</v>
      </c>
      <c r="E98" s="2">
        <v>100</v>
      </c>
      <c r="F98" s="2">
        <v>92</v>
      </c>
      <c r="G98" s="2">
        <v>100</v>
      </c>
      <c r="H98" s="2">
        <v>100</v>
      </c>
      <c r="I98" s="2">
        <v>100</v>
      </c>
      <c r="J98" s="3">
        <f t="shared" si="4"/>
        <v>94.4</v>
      </c>
      <c r="K98" s="3">
        <f t="shared" si="5"/>
        <v>100</v>
      </c>
    </row>
    <row r="99" spans="1:11">
      <c r="A99" t="s">
        <v>208</v>
      </c>
      <c r="B99" t="s">
        <v>209</v>
      </c>
      <c r="C99" t="s">
        <v>207</v>
      </c>
      <c r="D99" s="2">
        <v>80</v>
      </c>
      <c r="E99" s="2">
        <v>100</v>
      </c>
      <c r="F99" s="2">
        <v>100</v>
      </c>
      <c r="G99" s="2">
        <v>100</v>
      </c>
      <c r="H99" s="2">
        <v>79</v>
      </c>
      <c r="I99" s="2">
        <v>100</v>
      </c>
      <c r="J99" s="3">
        <f t="shared" ref="J99:J129" si="6">(D99*7/100+E99*9/100+F99*7/100+G99*7/100)/30*100</f>
        <v>95.3333333333333</v>
      </c>
      <c r="K99" s="3">
        <f t="shared" ref="K99:K129" si="7">(H99*60/100+I99*10/100)/70*100</f>
        <v>82</v>
      </c>
    </row>
    <row r="100" spans="1:11">
      <c r="A100" t="s">
        <v>210</v>
      </c>
      <c r="B100" t="s">
        <v>211</v>
      </c>
      <c r="C100" t="s">
        <v>207</v>
      </c>
      <c r="D100" s="2">
        <v>80</v>
      </c>
      <c r="E100" s="2">
        <v>100</v>
      </c>
      <c r="F100" s="2">
        <v>100</v>
      </c>
      <c r="G100" s="2">
        <v>100</v>
      </c>
      <c r="H100" s="2">
        <v>79</v>
      </c>
      <c r="I100" s="2">
        <v>100</v>
      </c>
      <c r="J100" s="3">
        <f t="shared" si="6"/>
        <v>95.3333333333333</v>
      </c>
      <c r="K100" s="3">
        <f t="shared" si="7"/>
        <v>82</v>
      </c>
    </row>
    <row r="101" spans="1:11">
      <c r="A101" t="s">
        <v>212</v>
      </c>
      <c r="B101" t="s">
        <v>213</v>
      </c>
      <c r="C101" t="s">
        <v>207</v>
      </c>
      <c r="D101" s="2">
        <v>78</v>
      </c>
      <c r="E101" s="2">
        <v>86</v>
      </c>
      <c r="F101" s="2">
        <v>78</v>
      </c>
      <c r="G101" s="2">
        <v>100</v>
      </c>
      <c r="H101" s="2">
        <v>80</v>
      </c>
      <c r="I101" s="2">
        <v>100</v>
      </c>
      <c r="J101" s="3">
        <f t="shared" si="6"/>
        <v>85.5333333333333</v>
      </c>
      <c r="K101" s="3">
        <f t="shared" si="7"/>
        <v>82.8571428571429</v>
      </c>
    </row>
    <row r="102" spans="1:11">
      <c r="A102" t="s">
        <v>214</v>
      </c>
      <c r="B102" t="s">
        <v>215</v>
      </c>
      <c r="C102" t="s">
        <v>207</v>
      </c>
      <c r="D102" s="2">
        <v>80</v>
      </c>
      <c r="E102" s="2">
        <v>100</v>
      </c>
      <c r="F102" s="2">
        <v>100</v>
      </c>
      <c r="G102" s="2">
        <v>100</v>
      </c>
      <c r="H102" s="2">
        <v>79</v>
      </c>
      <c r="I102" s="2">
        <v>100</v>
      </c>
      <c r="J102" s="3">
        <f t="shared" si="6"/>
        <v>95.3333333333333</v>
      </c>
      <c r="K102" s="3">
        <f t="shared" si="7"/>
        <v>82</v>
      </c>
    </row>
    <row r="103" spans="1:11">
      <c r="A103" t="s">
        <v>216</v>
      </c>
      <c r="B103" t="s">
        <v>217</v>
      </c>
      <c r="C103" t="s">
        <v>207</v>
      </c>
      <c r="D103" s="2">
        <v>88</v>
      </c>
      <c r="E103" s="2">
        <v>92</v>
      </c>
      <c r="F103" s="2">
        <v>100</v>
      </c>
      <c r="G103" s="2">
        <v>100</v>
      </c>
      <c r="H103" s="2">
        <v>100</v>
      </c>
      <c r="I103" s="2">
        <v>80</v>
      </c>
      <c r="J103" s="3">
        <f t="shared" si="6"/>
        <v>94.8</v>
      </c>
      <c r="K103" s="3">
        <f t="shared" si="7"/>
        <v>97.1428571428571</v>
      </c>
    </row>
    <row r="104" spans="1:11">
      <c r="A104" t="s">
        <v>218</v>
      </c>
      <c r="B104" t="s">
        <v>219</v>
      </c>
      <c r="C104" t="s">
        <v>207</v>
      </c>
      <c r="D104" s="2">
        <v>88</v>
      </c>
      <c r="E104" s="2">
        <v>92</v>
      </c>
      <c r="F104" s="2">
        <v>100</v>
      </c>
      <c r="G104" s="2">
        <v>100</v>
      </c>
      <c r="H104" s="2">
        <v>100</v>
      </c>
      <c r="I104" s="2">
        <v>80</v>
      </c>
      <c r="J104" s="3">
        <f t="shared" si="6"/>
        <v>94.8</v>
      </c>
      <c r="K104" s="3">
        <f t="shared" si="7"/>
        <v>97.1428571428571</v>
      </c>
    </row>
    <row r="105" spans="1:11">
      <c r="A105" t="s">
        <v>220</v>
      </c>
      <c r="B105" t="s">
        <v>221</v>
      </c>
      <c r="C105" t="s">
        <v>207</v>
      </c>
      <c r="D105" s="2">
        <v>84</v>
      </c>
      <c r="E105" s="2">
        <v>100</v>
      </c>
      <c r="F105" s="2">
        <v>100</v>
      </c>
      <c r="G105" s="2">
        <v>100</v>
      </c>
      <c r="H105" s="2">
        <v>80</v>
      </c>
      <c r="I105" s="2">
        <v>100</v>
      </c>
      <c r="J105" s="3">
        <f t="shared" si="6"/>
        <v>96.2666666666667</v>
      </c>
      <c r="K105" s="3">
        <f t="shared" si="7"/>
        <v>82.8571428571429</v>
      </c>
    </row>
    <row r="106" spans="1:11">
      <c r="A106" t="s">
        <v>222</v>
      </c>
      <c r="B106" t="s">
        <v>223</v>
      </c>
      <c r="C106" t="s">
        <v>207</v>
      </c>
      <c r="D106" s="4">
        <v>80</v>
      </c>
      <c r="E106" s="4">
        <v>100</v>
      </c>
      <c r="F106" s="4">
        <v>92</v>
      </c>
      <c r="G106" s="4">
        <v>100</v>
      </c>
      <c r="H106" s="4">
        <v>84</v>
      </c>
      <c r="I106" s="4">
        <v>100</v>
      </c>
      <c r="J106" s="5">
        <f t="shared" si="6"/>
        <v>93.4666666666667</v>
      </c>
      <c r="K106" s="5">
        <f t="shared" si="7"/>
        <v>86.2857142857143</v>
      </c>
    </row>
    <row r="107" spans="1:11">
      <c r="A107" t="s">
        <v>224</v>
      </c>
      <c r="B107" t="s">
        <v>225</v>
      </c>
      <c r="C107" t="s">
        <v>207</v>
      </c>
      <c r="D107" s="2">
        <v>80</v>
      </c>
      <c r="E107" s="2">
        <v>100</v>
      </c>
      <c r="F107" s="2">
        <v>100</v>
      </c>
      <c r="G107" s="2">
        <v>100</v>
      </c>
      <c r="H107" s="2">
        <v>79</v>
      </c>
      <c r="I107" s="2">
        <v>100</v>
      </c>
      <c r="J107" s="3">
        <f t="shared" si="6"/>
        <v>95.3333333333333</v>
      </c>
      <c r="K107" s="3">
        <f t="shared" si="7"/>
        <v>82</v>
      </c>
    </row>
    <row r="108" spans="1:11">
      <c r="A108" t="s">
        <v>226</v>
      </c>
      <c r="B108" t="s">
        <v>227</v>
      </c>
      <c r="C108" t="s">
        <v>207</v>
      </c>
      <c r="D108" s="2">
        <v>92</v>
      </c>
      <c r="E108" s="2">
        <v>88</v>
      </c>
      <c r="F108" s="2">
        <v>100</v>
      </c>
      <c r="G108" s="2">
        <v>100</v>
      </c>
      <c r="H108" s="2">
        <v>100</v>
      </c>
      <c r="I108" s="2">
        <v>100</v>
      </c>
      <c r="J108" s="3">
        <f t="shared" si="6"/>
        <v>94.5333333333333</v>
      </c>
      <c r="K108" s="3">
        <f t="shared" si="7"/>
        <v>100</v>
      </c>
    </row>
    <row r="109" spans="1:11">
      <c r="A109" t="s">
        <v>228</v>
      </c>
      <c r="B109" t="s">
        <v>229</v>
      </c>
      <c r="C109" t="s">
        <v>207</v>
      </c>
      <c r="D109" s="2">
        <v>92</v>
      </c>
      <c r="E109" s="2">
        <v>100</v>
      </c>
      <c r="F109" s="2">
        <v>100</v>
      </c>
      <c r="G109" s="2">
        <v>100</v>
      </c>
      <c r="H109" s="2">
        <v>100</v>
      </c>
      <c r="I109" s="2">
        <v>100</v>
      </c>
      <c r="J109" s="3">
        <f t="shared" si="6"/>
        <v>98.1333333333333</v>
      </c>
      <c r="K109" s="3">
        <f t="shared" si="7"/>
        <v>100</v>
      </c>
    </row>
    <row r="110" spans="1:11">
      <c r="A110" t="s">
        <v>230</v>
      </c>
      <c r="B110" t="s">
        <v>231</v>
      </c>
      <c r="C110" t="s">
        <v>207</v>
      </c>
      <c r="D110" s="2">
        <v>92</v>
      </c>
      <c r="E110" s="2">
        <v>88</v>
      </c>
      <c r="F110" s="2">
        <v>100</v>
      </c>
      <c r="G110" s="2">
        <v>100</v>
      </c>
      <c r="H110" s="2">
        <v>100</v>
      </c>
      <c r="I110" s="2">
        <v>100</v>
      </c>
      <c r="J110" s="3">
        <f t="shared" si="6"/>
        <v>94.5333333333333</v>
      </c>
      <c r="K110" s="3">
        <f t="shared" si="7"/>
        <v>100</v>
      </c>
    </row>
    <row r="111" spans="1:11">
      <c r="A111" t="s">
        <v>232</v>
      </c>
      <c r="B111" t="s">
        <v>233</v>
      </c>
      <c r="C111" t="s">
        <v>207</v>
      </c>
      <c r="D111" s="2">
        <v>92</v>
      </c>
      <c r="E111" s="2">
        <v>88</v>
      </c>
      <c r="F111" s="2">
        <v>100</v>
      </c>
      <c r="G111" s="2">
        <v>100</v>
      </c>
      <c r="H111" s="2">
        <v>100</v>
      </c>
      <c r="I111" s="2">
        <v>100</v>
      </c>
      <c r="J111" s="3">
        <f t="shared" si="6"/>
        <v>94.5333333333333</v>
      </c>
      <c r="K111" s="3">
        <f t="shared" si="7"/>
        <v>100</v>
      </c>
    </row>
    <row r="112" spans="1:11">
      <c r="A112" t="s">
        <v>234</v>
      </c>
      <c r="B112" t="s">
        <v>235</v>
      </c>
      <c r="C112" t="s">
        <v>207</v>
      </c>
      <c r="D112" s="2">
        <v>92</v>
      </c>
      <c r="E112" s="2">
        <v>100</v>
      </c>
      <c r="F112" s="2">
        <v>100</v>
      </c>
      <c r="G112" s="2">
        <v>100</v>
      </c>
      <c r="H112" s="2">
        <v>100</v>
      </c>
      <c r="I112" s="2">
        <v>100</v>
      </c>
      <c r="J112" s="3">
        <f t="shared" si="6"/>
        <v>98.1333333333333</v>
      </c>
      <c r="K112" s="3">
        <f t="shared" si="7"/>
        <v>100</v>
      </c>
    </row>
    <row r="113" spans="1:11">
      <c r="A113" t="s">
        <v>236</v>
      </c>
      <c r="B113" t="s">
        <v>237</v>
      </c>
      <c r="C113" t="s">
        <v>207</v>
      </c>
      <c r="D113" s="2">
        <v>92</v>
      </c>
      <c r="E113" s="2">
        <v>88</v>
      </c>
      <c r="F113" s="2">
        <v>100</v>
      </c>
      <c r="G113" s="2">
        <v>100</v>
      </c>
      <c r="H113" s="2">
        <v>100</v>
      </c>
      <c r="I113" s="2">
        <v>100</v>
      </c>
      <c r="J113" s="3">
        <f t="shared" si="6"/>
        <v>94.5333333333333</v>
      </c>
      <c r="K113" s="3">
        <f t="shared" si="7"/>
        <v>100</v>
      </c>
    </row>
    <row r="114" spans="1:11">
      <c r="A114" t="s">
        <v>238</v>
      </c>
      <c r="B114" t="s">
        <v>239</v>
      </c>
      <c r="C114" t="s">
        <v>207</v>
      </c>
      <c r="D114" s="2">
        <v>92</v>
      </c>
      <c r="E114" s="2">
        <v>100</v>
      </c>
      <c r="F114" s="2">
        <v>100</v>
      </c>
      <c r="G114" s="2">
        <v>100</v>
      </c>
      <c r="H114" s="2">
        <v>100</v>
      </c>
      <c r="I114" s="2">
        <v>100</v>
      </c>
      <c r="J114" s="3">
        <f t="shared" si="6"/>
        <v>98.1333333333333</v>
      </c>
      <c r="K114" s="3">
        <f t="shared" si="7"/>
        <v>100</v>
      </c>
    </row>
    <row r="115" spans="1:11">
      <c r="A115" t="s">
        <v>240</v>
      </c>
      <c r="B115" t="s">
        <v>241</v>
      </c>
      <c r="C115" t="s">
        <v>207</v>
      </c>
      <c r="D115" s="2">
        <v>92</v>
      </c>
      <c r="E115" s="2">
        <v>100</v>
      </c>
      <c r="F115" s="2">
        <v>100</v>
      </c>
      <c r="G115" s="2">
        <v>100</v>
      </c>
      <c r="H115" s="2">
        <v>100</v>
      </c>
      <c r="I115" s="2">
        <v>100</v>
      </c>
      <c r="J115" s="3">
        <f t="shared" si="6"/>
        <v>98.1333333333333</v>
      </c>
      <c r="K115" s="3">
        <f t="shared" si="7"/>
        <v>100</v>
      </c>
    </row>
    <row r="116" spans="1:11">
      <c r="A116" t="s">
        <v>242</v>
      </c>
      <c r="B116" t="s">
        <v>243</v>
      </c>
      <c r="C116" t="s">
        <v>207</v>
      </c>
      <c r="D116" s="2">
        <v>92</v>
      </c>
      <c r="E116" s="2">
        <v>100</v>
      </c>
      <c r="F116" s="2">
        <v>100</v>
      </c>
      <c r="G116" s="2">
        <v>100</v>
      </c>
      <c r="H116" s="2">
        <v>100</v>
      </c>
      <c r="I116" s="2">
        <v>100</v>
      </c>
      <c r="J116" s="3">
        <f t="shared" si="6"/>
        <v>98.1333333333333</v>
      </c>
      <c r="K116" s="3">
        <f t="shared" si="7"/>
        <v>100</v>
      </c>
    </row>
    <row r="117" spans="1:11">
      <c r="A117" t="s">
        <v>244</v>
      </c>
      <c r="B117" t="s">
        <v>245</v>
      </c>
      <c r="C117" t="s">
        <v>207</v>
      </c>
      <c r="D117" s="2">
        <v>92</v>
      </c>
      <c r="E117" s="2">
        <v>100</v>
      </c>
      <c r="F117" s="2">
        <v>100</v>
      </c>
      <c r="G117" s="2">
        <v>100</v>
      </c>
      <c r="H117" s="2">
        <v>100</v>
      </c>
      <c r="I117" s="2">
        <v>100</v>
      </c>
      <c r="J117" s="3">
        <f t="shared" si="6"/>
        <v>98.1333333333333</v>
      </c>
      <c r="K117" s="3">
        <f t="shared" si="7"/>
        <v>100</v>
      </c>
    </row>
    <row r="118" spans="1:11">
      <c r="A118" t="s">
        <v>246</v>
      </c>
      <c r="B118" t="s">
        <v>247</v>
      </c>
      <c r="C118" t="s">
        <v>207</v>
      </c>
      <c r="D118" s="2">
        <v>92</v>
      </c>
      <c r="E118" s="2">
        <v>100</v>
      </c>
      <c r="F118" s="2">
        <v>100</v>
      </c>
      <c r="G118" s="2">
        <v>100</v>
      </c>
      <c r="H118" s="2">
        <v>100</v>
      </c>
      <c r="I118" s="2">
        <v>100</v>
      </c>
      <c r="J118" s="3">
        <f t="shared" si="6"/>
        <v>98.1333333333333</v>
      </c>
      <c r="K118" s="3">
        <f t="shared" si="7"/>
        <v>100</v>
      </c>
    </row>
    <row r="119" spans="1:11">
      <c r="A119" t="s">
        <v>248</v>
      </c>
      <c r="B119" t="s">
        <v>249</v>
      </c>
      <c r="C119" t="s">
        <v>207</v>
      </c>
      <c r="D119" s="2">
        <v>92</v>
      </c>
      <c r="E119" s="2">
        <v>100</v>
      </c>
      <c r="F119" s="2">
        <v>100</v>
      </c>
      <c r="G119" s="2">
        <v>100</v>
      </c>
      <c r="H119" s="2">
        <v>100</v>
      </c>
      <c r="I119" s="2">
        <v>100</v>
      </c>
      <c r="J119" s="3">
        <f t="shared" si="6"/>
        <v>98.1333333333333</v>
      </c>
      <c r="K119" s="3">
        <f t="shared" si="7"/>
        <v>100</v>
      </c>
    </row>
    <row r="120" spans="1:11">
      <c r="A120" t="s">
        <v>250</v>
      </c>
      <c r="B120" t="s">
        <v>251</v>
      </c>
      <c r="C120" t="s">
        <v>207</v>
      </c>
      <c r="D120" s="2">
        <v>92</v>
      </c>
      <c r="E120" s="2">
        <v>100</v>
      </c>
      <c r="F120" s="2">
        <v>100</v>
      </c>
      <c r="G120" s="2">
        <v>100</v>
      </c>
      <c r="H120" s="2">
        <v>100</v>
      </c>
      <c r="I120" s="2">
        <v>100</v>
      </c>
      <c r="J120" s="3">
        <f t="shared" si="6"/>
        <v>98.1333333333333</v>
      </c>
      <c r="K120" s="3">
        <f t="shared" si="7"/>
        <v>100</v>
      </c>
    </row>
    <row r="121" spans="1:11">
      <c r="A121" t="s">
        <v>252</v>
      </c>
      <c r="B121" t="s">
        <v>253</v>
      </c>
      <c r="C121" t="s">
        <v>207</v>
      </c>
      <c r="D121" s="2">
        <v>84</v>
      </c>
      <c r="E121" s="2">
        <v>100</v>
      </c>
      <c r="F121" s="2">
        <v>100</v>
      </c>
      <c r="G121" s="2">
        <v>100</v>
      </c>
      <c r="H121" s="2">
        <v>100</v>
      </c>
      <c r="I121" s="2">
        <v>100</v>
      </c>
      <c r="J121" s="3">
        <f t="shared" si="6"/>
        <v>96.2666666666667</v>
      </c>
      <c r="K121" s="3">
        <f t="shared" si="7"/>
        <v>100</v>
      </c>
    </row>
    <row r="122" spans="1:11">
      <c r="A122" t="s">
        <v>254</v>
      </c>
      <c r="B122" t="s">
        <v>255</v>
      </c>
      <c r="C122" t="s">
        <v>207</v>
      </c>
      <c r="D122" s="2">
        <v>84</v>
      </c>
      <c r="E122" s="2">
        <v>100</v>
      </c>
      <c r="F122" s="2">
        <v>100</v>
      </c>
      <c r="G122" s="2">
        <v>100</v>
      </c>
      <c r="H122" s="2">
        <v>100</v>
      </c>
      <c r="I122" s="2">
        <v>100</v>
      </c>
      <c r="J122" s="3">
        <f t="shared" si="6"/>
        <v>96.2666666666667</v>
      </c>
      <c r="K122" s="3">
        <f t="shared" si="7"/>
        <v>100</v>
      </c>
    </row>
    <row r="123" spans="1:11">
      <c r="A123" t="s">
        <v>256</v>
      </c>
      <c r="B123" t="s">
        <v>257</v>
      </c>
      <c r="C123" t="s">
        <v>207</v>
      </c>
      <c r="D123" s="2">
        <v>80</v>
      </c>
      <c r="E123" s="2">
        <v>96</v>
      </c>
      <c r="F123" s="2">
        <v>80</v>
      </c>
      <c r="G123" s="2">
        <v>86</v>
      </c>
      <c r="H123" s="2">
        <v>82</v>
      </c>
      <c r="I123" s="2">
        <v>100</v>
      </c>
      <c r="J123" s="3">
        <f t="shared" si="6"/>
        <v>86.2</v>
      </c>
      <c r="K123" s="3">
        <f t="shared" si="7"/>
        <v>84.5714285714286</v>
      </c>
    </row>
    <row r="124" spans="1:11">
      <c r="A124" t="s">
        <v>258</v>
      </c>
      <c r="B124" t="s">
        <v>259</v>
      </c>
      <c r="C124" t="s">
        <v>207</v>
      </c>
      <c r="D124" s="2">
        <v>84</v>
      </c>
      <c r="E124" s="2">
        <v>100</v>
      </c>
      <c r="F124" s="2">
        <v>100</v>
      </c>
      <c r="G124" s="2">
        <v>100</v>
      </c>
      <c r="H124" s="2">
        <v>100</v>
      </c>
      <c r="I124" s="2">
        <v>100</v>
      </c>
      <c r="J124" s="3">
        <f t="shared" si="6"/>
        <v>96.2666666666667</v>
      </c>
      <c r="K124" s="3">
        <f t="shared" si="7"/>
        <v>100</v>
      </c>
    </row>
    <row r="125" spans="1:11">
      <c r="A125" t="s">
        <v>260</v>
      </c>
      <c r="B125" t="s">
        <v>261</v>
      </c>
      <c r="C125" t="s">
        <v>207</v>
      </c>
      <c r="D125" s="2">
        <v>84</v>
      </c>
      <c r="E125" s="2">
        <v>100</v>
      </c>
      <c r="F125" s="2">
        <v>100</v>
      </c>
      <c r="G125" s="2">
        <v>100</v>
      </c>
      <c r="H125" s="2">
        <v>100</v>
      </c>
      <c r="I125" s="2">
        <v>100</v>
      </c>
      <c r="J125" s="3">
        <f t="shared" si="6"/>
        <v>96.2666666666667</v>
      </c>
      <c r="K125" s="3">
        <f t="shared" si="7"/>
        <v>100</v>
      </c>
    </row>
    <row r="126" spans="1:11">
      <c r="A126" t="s">
        <v>262</v>
      </c>
      <c r="B126" t="s">
        <v>263</v>
      </c>
      <c r="C126" t="s">
        <v>207</v>
      </c>
      <c r="D126" s="2">
        <v>80</v>
      </c>
      <c r="E126" s="2">
        <v>100</v>
      </c>
      <c r="F126" s="2">
        <v>100</v>
      </c>
      <c r="G126" s="2">
        <v>100</v>
      </c>
      <c r="H126" s="2">
        <v>80</v>
      </c>
      <c r="I126" s="2">
        <v>80</v>
      </c>
      <c r="J126" s="3">
        <f t="shared" si="6"/>
        <v>95.3333333333333</v>
      </c>
      <c r="K126" s="3">
        <f t="shared" si="7"/>
        <v>80</v>
      </c>
    </row>
    <row r="127" spans="1:11">
      <c r="A127" t="s">
        <v>264</v>
      </c>
      <c r="B127" t="s">
        <v>265</v>
      </c>
      <c r="C127" t="s">
        <v>207</v>
      </c>
      <c r="D127" s="2">
        <v>84</v>
      </c>
      <c r="E127" s="2">
        <v>100</v>
      </c>
      <c r="F127" s="2">
        <v>92</v>
      </c>
      <c r="G127" s="2">
        <v>100</v>
      </c>
      <c r="H127" s="2">
        <v>100</v>
      </c>
      <c r="I127" s="2">
        <v>100</v>
      </c>
      <c r="J127" s="3">
        <f t="shared" si="6"/>
        <v>94.4</v>
      </c>
      <c r="K127" s="3">
        <f t="shared" si="7"/>
        <v>100</v>
      </c>
    </row>
    <row r="128" spans="1:11">
      <c r="A128" t="s">
        <v>266</v>
      </c>
      <c r="B128" t="s">
        <v>267</v>
      </c>
      <c r="C128" t="s">
        <v>207</v>
      </c>
      <c r="D128" s="2">
        <v>84</v>
      </c>
      <c r="E128" s="2">
        <v>100</v>
      </c>
      <c r="F128" s="2">
        <v>92</v>
      </c>
      <c r="G128" s="2">
        <v>100</v>
      </c>
      <c r="H128" s="2">
        <v>100</v>
      </c>
      <c r="I128" s="2">
        <v>100</v>
      </c>
      <c r="J128" s="3">
        <f t="shared" si="6"/>
        <v>94.4</v>
      </c>
      <c r="K128" s="3">
        <f t="shared" si="7"/>
        <v>100</v>
      </c>
    </row>
    <row r="129" spans="1:11">
      <c r="A129" t="s">
        <v>268</v>
      </c>
      <c r="B129" t="s">
        <v>269</v>
      </c>
      <c r="C129" t="s">
        <v>207</v>
      </c>
      <c r="D129" s="2">
        <v>84</v>
      </c>
      <c r="E129" s="2">
        <v>100</v>
      </c>
      <c r="F129" s="2">
        <v>92</v>
      </c>
      <c r="G129" s="2">
        <v>100</v>
      </c>
      <c r="H129" s="2">
        <v>100</v>
      </c>
      <c r="I129" s="2">
        <v>100</v>
      </c>
      <c r="J129" s="3">
        <f t="shared" si="6"/>
        <v>94.4</v>
      </c>
      <c r="K129" s="3">
        <f t="shared" si="7"/>
        <v>100</v>
      </c>
    </row>
  </sheetData>
  <conditionalFormatting sqref="D106:I106">
    <cfRule type="cellIs" dxfId="0" priority="1" operator="lessThan">
      <formula>60</formula>
    </cfRule>
  </conditionalFormatting>
  <conditionalFormatting sqref="D2:I105 D107:I129">
    <cfRule type="cellIs" dxfId="0" priority="2" operator="lessThan">
      <formula>60</formula>
    </cfRule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王靖娜</cp:lastModifiedBy>
  <dcterms:created xsi:type="dcterms:W3CDTF">2026-01-27T15:27:00Z</dcterms:created>
  <dcterms:modified xsi:type="dcterms:W3CDTF">2026-03-31T16:05:55Z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FB243EE30BAE4F64A302692329BAF4A3_12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